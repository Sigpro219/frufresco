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ISCASA\AppData\Local\Microsoft\Windows\INetCache\Content.Outlook\X4VP4M0K\"/>
    </mc:Choice>
  </mc:AlternateContent>
  <xr:revisionPtr revIDLastSave="0" documentId="13_ncr:1_{C7C082F2-ACE0-4A4F-BBCA-5C76674AD2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Hoja1!$A$4:$K$246</definedName>
    <definedName name="_xlnm.Print_Area" localSheetId="0">Hoja1!$A$1:$K$240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02" i="1" l="1"/>
  <c r="C173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64" i="1"/>
  <c r="C65" i="1"/>
  <c r="C54" i="1"/>
  <c r="C5" i="1" l="1"/>
  <c r="C6" i="1"/>
  <c r="C9" i="1"/>
  <c r="C11" i="1"/>
  <c r="C13" i="1"/>
  <c r="C23" i="1"/>
  <c r="C31" i="1"/>
  <c r="C32" i="1"/>
  <c r="C34" i="1"/>
  <c r="C41" i="1"/>
  <c r="C43" i="1"/>
  <c r="C53" i="1"/>
  <c r="C57" i="1"/>
  <c r="C62" i="1"/>
  <c r="C67" i="1"/>
  <c r="C69" i="1"/>
  <c r="C70" i="1"/>
  <c r="C73" i="1"/>
  <c r="C76" i="1"/>
  <c r="C91" i="1"/>
  <c r="C96" i="1"/>
  <c r="C100" i="1"/>
  <c r="C101" i="1"/>
  <c r="C109" i="1"/>
  <c r="C122" i="1"/>
  <c r="C124" i="1"/>
  <c r="C135" i="1"/>
  <c r="C86" i="1"/>
  <c r="C7" i="1"/>
  <c r="C8" i="1"/>
  <c r="C10" i="1"/>
  <c r="C12" i="1"/>
  <c r="C14" i="1"/>
  <c r="C15" i="1"/>
  <c r="C16" i="1"/>
  <c r="C17" i="1"/>
  <c r="C18" i="1"/>
  <c r="C19" i="1"/>
  <c r="C20" i="1"/>
  <c r="C21" i="1"/>
  <c r="C22" i="1"/>
  <c r="C24" i="1"/>
  <c r="C25" i="1"/>
  <c r="C26" i="1"/>
  <c r="C27" i="1"/>
  <c r="C28" i="1"/>
  <c r="C29" i="1"/>
  <c r="C30" i="1"/>
  <c r="C33" i="1"/>
  <c r="C35" i="1"/>
  <c r="C36" i="1"/>
  <c r="C37" i="1"/>
  <c r="C38" i="1"/>
  <c r="C39" i="1"/>
  <c r="C40" i="1"/>
  <c r="C42" i="1"/>
  <c r="C44" i="1"/>
  <c r="C45" i="1"/>
  <c r="C46" i="1"/>
  <c r="C47" i="1"/>
  <c r="C48" i="1"/>
  <c r="C49" i="1"/>
  <c r="C50" i="1"/>
  <c r="C51" i="1"/>
  <c r="C52" i="1"/>
  <c r="C55" i="1"/>
  <c r="C56" i="1"/>
  <c r="C58" i="1"/>
  <c r="C59" i="1"/>
  <c r="C60" i="1"/>
  <c r="C61" i="1"/>
  <c r="C63" i="1"/>
  <c r="C66" i="1"/>
  <c r="C68" i="1"/>
  <c r="C71" i="1"/>
  <c r="C72" i="1"/>
  <c r="C74" i="1"/>
  <c r="C75" i="1"/>
  <c r="C77" i="1"/>
  <c r="C78" i="1"/>
  <c r="C79" i="1"/>
  <c r="C80" i="1"/>
  <c r="C81" i="1"/>
  <c r="C82" i="1"/>
  <c r="C83" i="1"/>
  <c r="C84" i="1"/>
  <c r="C85" i="1"/>
  <c r="C87" i="1"/>
  <c r="C88" i="1"/>
  <c r="C89" i="1"/>
  <c r="C90" i="1"/>
  <c r="C92" i="1"/>
  <c r="C93" i="1"/>
  <c r="C94" i="1"/>
  <c r="C95" i="1"/>
  <c r="C97" i="1"/>
  <c r="C98" i="1"/>
  <c r="C99" i="1"/>
  <c r="C103" i="1"/>
  <c r="C104" i="1"/>
  <c r="C105" i="1"/>
  <c r="C106" i="1"/>
  <c r="C107" i="1"/>
  <c r="C108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3" i="1"/>
  <c r="C125" i="1"/>
  <c r="C126" i="1"/>
  <c r="C127" i="1"/>
  <c r="C128" i="1"/>
  <c r="C129" i="1"/>
  <c r="C130" i="1"/>
  <c r="C131" i="1"/>
  <c r="C132" i="1"/>
  <c r="C133" i="1"/>
  <c r="C134" i="1"/>
</calcChain>
</file>

<file path=xl/sharedStrings.xml><?xml version="1.0" encoding="utf-8"?>
<sst xmlns="http://schemas.openxmlformats.org/spreadsheetml/2006/main" count="267" uniqueCount="266">
  <si>
    <t>OPERACIÓN</t>
  </si>
  <si>
    <t xml:space="preserve">CLUB BELLAVISTA </t>
  </si>
  <si>
    <t>PLU</t>
  </si>
  <si>
    <t>PRODUCTO</t>
  </si>
  <si>
    <t>robles</t>
  </si>
  <si>
    <t>capitanes</t>
  </si>
  <si>
    <t>pinos</t>
  </si>
  <si>
    <t>eventos</t>
  </si>
  <si>
    <t>nogales</t>
  </si>
  <si>
    <t>OBSERVACIONES</t>
  </si>
  <si>
    <t>ACELGA BABY INSTITUCIONAL X 1000 G</t>
  </si>
  <si>
    <t>ACELGA INSTITUCIONAL 1000 G</t>
  </si>
  <si>
    <t>ACHIOTE INSTITUCIONAL X 1000 G</t>
  </si>
  <si>
    <t>AGRAZ INSTITUCIONAL 1000G</t>
  </si>
  <si>
    <t>AGUACATE EXTRA INSTITUCIONAL 1000 G</t>
  </si>
  <si>
    <t>AGUACATE PRIMERA INSTITUCIONAL 1000 G</t>
  </si>
  <si>
    <t>AHUYAMA CANDELARIA INST. X 1000 GR</t>
  </si>
  <si>
    <t>AHUYAMA INSTITUCIONAL 1000 G</t>
  </si>
  <si>
    <t>AJI CHILE ANCHO INST. X 1000 GR</t>
  </si>
  <si>
    <t>AJI CHILE ARBOL INST. X 1000 GR</t>
  </si>
  <si>
    <t>AJI CHILE GUAJILLO INST. X 1000 GR</t>
  </si>
  <si>
    <t>AJI CHILE MORA INST. X 1000 GR</t>
  </si>
  <si>
    <t>AJI CHILE SERRANO  INST. X 1000 GR</t>
  </si>
  <si>
    <t xml:space="preserve">AJI DULCE INST X 1000 gr </t>
  </si>
  <si>
    <t>AJI JALAPEÑO ROJO INST  1000 G</t>
  </si>
  <si>
    <t>AJI JALAPEÑO VERDE INST  1000 G</t>
  </si>
  <si>
    <t>AJI PICANTE INSTITUCIONAL 1000 G</t>
  </si>
  <si>
    <t>AJO IMPORTADO INSTITUCIONAL 1000 G</t>
  </si>
  <si>
    <t>AJONJOLI INSTITUCIONAL 1000G</t>
  </si>
  <si>
    <t>AJONJOLI NEGRO INSTITUCIONAL X 1000 G</t>
  </si>
  <si>
    <t>ALBACON INST  1000 G</t>
  </si>
  <si>
    <t>ALBAHACA INST  1000 G</t>
  </si>
  <si>
    <t>ALCACHOFA  INSTITUCIONAL 1000 G</t>
  </si>
  <si>
    <t xml:space="preserve">ALFALFA UND </t>
  </si>
  <si>
    <t>APIO INSTITUCIONAL 1000 G</t>
  </si>
  <si>
    <t>ARANDANO INSTITUCIONAL 1000 G</t>
  </si>
  <si>
    <t>AROMATICAS MIXTAS COLSUBS PAQ 1000 G</t>
  </si>
  <si>
    <t>ARRACACHA INSTITUCIONAL 1000 G</t>
  </si>
  <si>
    <t>ARVEJA DESGRANADA INSTITUCIONAL 1000 G</t>
  </si>
  <si>
    <t>ARVEJA EN VAINA COLSUBSIDIO 1000 G</t>
  </si>
  <si>
    <t>BADEA INSTUTICIONAL 1000G</t>
  </si>
  <si>
    <t>BANANO BOCADILLO INSTITUCIONAL 1000 G</t>
  </si>
  <si>
    <t>BANANO BOCADILLO INSTITUCIONAL 500 G</t>
  </si>
  <si>
    <t>BANANO BOCADILLO INSTITUCIONAL UNIDAD</t>
  </si>
  <si>
    <t>BANANO INSTITUCIONAL 1000 G</t>
  </si>
  <si>
    <t>BANANO INSTITUCIONAL 250 GMS</t>
  </si>
  <si>
    <t>BERENJENA INSTITUCIONAL 1000 G</t>
  </si>
  <si>
    <t>BREVAS INSTITUCIONAL 1000 G</t>
  </si>
  <si>
    <t>BROCOLI  INSTITUCIONAL 1000 G</t>
  </si>
  <si>
    <t>CALABACIN AMARILLO INSTITUCIONAL 1000 G</t>
  </si>
  <si>
    <t>CALABACIN VERDE INSTITUCIONAL 1000 G</t>
  </si>
  <si>
    <t xml:space="preserve">CALABAZA INSTITUCIONAL 1000 G </t>
  </si>
  <si>
    <t>CAMOTE INSTITUCIONAL 1000 G</t>
  </si>
  <si>
    <t>CARAMBOLO INSTITUCIONAL 1000 G</t>
  </si>
  <si>
    <t>CEBOLLA BCA INSTITUCIONAL 1000 G</t>
  </si>
  <si>
    <t>CEBOLLA JUNCA INSTITUCIONAL 1000 G</t>
  </si>
  <si>
    <t>CEBOLLA OCAÑERA INSTITUC X 1000G</t>
  </si>
  <si>
    <t>CEBOLLA PUERRO INSTITUCIONAL 1000 G</t>
  </si>
  <si>
    <t>CEBOLLA ROJA INSTITUCIONAL 1000 G</t>
  </si>
  <si>
    <t>CEBOLLETA INST  1000 G</t>
  </si>
  <si>
    <t>CEBOLLIN INST  1000 G</t>
  </si>
  <si>
    <t>CEREZA INSTITUCIONAL X 1000 G</t>
  </si>
  <si>
    <t xml:space="preserve">CHAMPIÑON CRIMINI INST X 1000 gr </t>
  </si>
  <si>
    <t>CHAMPIÑON GRANEL.COLSUBSIDIO 1000 G</t>
  </si>
  <si>
    <t>CHAMPIÑON PORTOBELLO  GRANEL INSTI 1000 G</t>
  </si>
  <si>
    <t>CHIRIMOYA INSITUTCIONAL KILO</t>
  </si>
  <si>
    <t xml:space="preserve">CHONTADURO INST X 1000 gr </t>
  </si>
  <si>
    <t>CHUGUAS INSTITUCIONAL 1000 G</t>
  </si>
  <si>
    <t xml:space="preserve">CILANTRO CIMARRON INST X 1000 gr </t>
  </si>
  <si>
    <t>CILANTRO INSTITUCIONAL 1000 G</t>
  </si>
  <si>
    <t>CIRUELA IMPORTADA INSTITUCIONAL 1000 G</t>
  </si>
  <si>
    <t>CIRUELA NACIONAL INSTITUCIONAL 1000 G</t>
  </si>
  <si>
    <t>COCO INSTITUCIONAL 1000 G</t>
  </si>
  <si>
    <t>COLCHINA INSTITUCIONAL 1000 G</t>
  </si>
  <si>
    <t>COLES DE BRUSELAS INST X 1000 GR</t>
  </si>
  <si>
    <t>COLIFLOR INSTITUCIONAL 1000 G</t>
  </si>
  <si>
    <t>COROZO INSTITUCIONAL X 1000 GR</t>
  </si>
  <si>
    <t>CUBIOS COLSUBSIDIO 1000 GMS</t>
  </si>
  <si>
    <t>CURUBA KILO INSTITUCIONAL 1000 G</t>
  </si>
  <si>
    <t>DURAZNO IMPORTADO INSTITUCIONAL 1000 G</t>
  </si>
  <si>
    <t>DURAZNO NACIONAL KILO INSTITUCIONAL</t>
  </si>
  <si>
    <t>ENDIVIAS BANDEJA INSTITUCIONAL 200 G</t>
  </si>
  <si>
    <t xml:space="preserve">ENELDO INST X 1000 gr </t>
  </si>
  <si>
    <t>ESPARRAGOS INSTITUCIONAL 1000 G</t>
  </si>
  <si>
    <t>ESPINACA BABY INSTITUCIONAL X 1000 G</t>
  </si>
  <si>
    <t>ESPINACA INSTITUCIONAL 1000 G</t>
  </si>
  <si>
    <t xml:space="preserve">ESTRAGON </t>
  </si>
  <si>
    <t>FEIJOA INSTITUCIONAL 1000 G</t>
  </si>
  <si>
    <t>FLOR DE JAMAICA X1000G INSTITUCIONAL</t>
  </si>
  <si>
    <t>FLORES COMERSTIBLES INSTI PAQ X 50 und</t>
  </si>
  <si>
    <t>FLORES COMERSTIBLES INSTITUCIONAL X 1000 G</t>
  </si>
  <si>
    <t>FRAMBUESA  INSTITUCIONAL X 1000 G</t>
  </si>
  <si>
    <t>FRAMBUESA EST X 125GR</t>
  </si>
  <si>
    <t>FRESA COCA INSTITUCIONAL 500 G</t>
  </si>
  <si>
    <t>FRESA COLSUBS EXTRA  1000 G</t>
  </si>
  <si>
    <t>FRIJOL DESGRANADO COLSUBS 1000 G</t>
  </si>
  <si>
    <t>FRIJOL VERDE COLSUBSIDIO 1000 G</t>
  </si>
  <si>
    <t>FRUTA INSTITUCIONAL UNIDAD</t>
  </si>
  <si>
    <t>GRANADA  INSTITUCIONAL X 1000 GR</t>
  </si>
  <si>
    <t>GRANADILLA INSTITUCIONAL 1000 G</t>
  </si>
  <si>
    <t>GRANADILLA INSTITUCIONAL 150 G</t>
  </si>
  <si>
    <t>GUANABANA INSTITUCIONAL 1000 G</t>
  </si>
  <si>
    <t>GUASCAS INST  1000 G</t>
  </si>
  <si>
    <t>GUATILA INSTITUCIONAL 1000 G</t>
  </si>
  <si>
    <t>GUAYABA INSTITUCIONAL 1000 G</t>
  </si>
  <si>
    <t>GUISANTES INSTITUCIONAL 1000 G</t>
  </si>
  <si>
    <t xml:space="preserve">GULUPA INST X 1000 gr </t>
  </si>
  <si>
    <t>HABA DESGRANADA INSTITUCIONAL 1000 G</t>
  </si>
  <si>
    <t>HABA INSTITUCIONAL 1000GR</t>
  </si>
  <si>
    <t>HABICHUELA INSTITUCIONAL 1000 G</t>
  </si>
  <si>
    <t>HABICHUELINA INSTITUCIONAL 1000 G</t>
  </si>
  <si>
    <t>HIGOS INSTITUCIONAL 1000 G</t>
  </si>
  <si>
    <t>HOJA DE AMERO INSTITUCIONAL 1000 G</t>
  </si>
  <si>
    <t>HOJAS D/TAMAL COLSUBS PAQ 500 G</t>
  </si>
  <si>
    <t xml:space="preserve">HOJAS DE BIJAO INST X 1000 gr </t>
  </si>
  <si>
    <t>KALE RIZADA ORGANI INSTITUCIONAL 1000 GR</t>
  </si>
  <si>
    <t>KIWI INSTITUCIONAL 1000 G</t>
  </si>
  <si>
    <t>LAUREL INST  1000 G</t>
  </si>
  <si>
    <t>LECHUGA  BATAVIA INSTITUCIONAL 1000 G</t>
  </si>
  <si>
    <t>LECHUGA CRESPA VERDE INSTIT 1000 G</t>
  </si>
  <si>
    <t>LECHUGA ESCAROLA INSTITUCIONAL 1000 G</t>
  </si>
  <si>
    <t>LECHUGA LISA INSTITUCIONAL 1000 G</t>
  </si>
  <si>
    <t>LECHUGA MORADA INSTITUCIONAL 1000 G</t>
  </si>
  <si>
    <t>LECHUGA RADICCIO INSTITUCIONAL 1000 G</t>
  </si>
  <si>
    <t>LECHUGA ROMANA INSTITUCIONAL 1000 GMS</t>
  </si>
  <si>
    <t>LIMA INSTITUCIONAL 1000 G</t>
  </si>
  <si>
    <t>LIMÓN COMÚN INSTITUCIONAL 1000 G</t>
  </si>
  <si>
    <t>LIMON TAHITY INSTITUCIONAL 1000 G</t>
  </si>
  <si>
    <t>LIMONARIA INST  1000 G</t>
  </si>
  <si>
    <t>LINAZA INSTITUCIONAL X 1000 G</t>
  </si>
  <si>
    <t>LULO INSTITUCIONAL 1000 G</t>
  </si>
  <si>
    <t>MAIZ PETO INSTITUCIONAL 1000 G</t>
  </si>
  <si>
    <t>MANDARINA BLANCA INSTITUC 1000 G</t>
  </si>
  <si>
    <t>MANDARINA INSTITUCIONAL 250 GMS</t>
  </si>
  <si>
    <t>MANDARINA REINA INSTITUCIONAL 1000 G</t>
  </si>
  <si>
    <t>MANGO AZUCAR INSTITUCIONAL 1000 G</t>
  </si>
  <si>
    <t>MANGO ROJO INSTITUCIONAL 1000 G</t>
  </si>
  <si>
    <t>MANGO TOMMY INSTITUCIONAL 1000 G</t>
  </si>
  <si>
    <t>MANZANA IMPORTADA INSTITUCIONAL X UNIDAD</t>
  </si>
  <si>
    <t>MANZANA IMPORTADA UNIDAD</t>
  </si>
  <si>
    <t>MANZANA LONCHERA INSTITUCIONAL 1000 G</t>
  </si>
  <si>
    <t>MANZANA NACIONAL INSTITUCIONAL 1000 G</t>
  </si>
  <si>
    <t>MANZANA ROJA IMP INSTITUCIONAL  unidad G</t>
  </si>
  <si>
    <t>MANZANA ROJA INSTITUCIONAL 1000 G</t>
  </si>
  <si>
    <t>MANZANA ROYAL INSTITUCIONAL 1000 G</t>
  </si>
  <si>
    <t>MANZANA VERDE IMPORT INSTI 1500 G</t>
  </si>
  <si>
    <t>MANZANA VERDE INSTITUCIONAL 1000 G</t>
  </si>
  <si>
    <t>MARACUYA INSTITUCIONAL 1000G</t>
  </si>
  <si>
    <t>MAZORCA BABY INSTITUCIONAL X 1000 G</t>
  </si>
  <si>
    <t>MAZORCA DESGRANADA INSTIT 1000 G</t>
  </si>
  <si>
    <t>MAZORCA INSTITUCIONAL 1000 G</t>
  </si>
  <si>
    <t>MELON INSTITUCIONAL 1000 G</t>
  </si>
  <si>
    <t>MENTA INST X KG</t>
  </si>
  <si>
    <t>MIX ASIATICO ORG INSTITUCIONAL 1000 GR</t>
  </si>
  <si>
    <t>MORA COLSUBSIDIO 1000 G</t>
  </si>
  <si>
    <t>MUTE INSTITUCIONAL 1000G</t>
  </si>
  <si>
    <t xml:space="preserve">NABOS INST X 1000 gr </t>
  </si>
  <si>
    <t>NARANJA TANGELO INSTITUCIONAL 1000 G</t>
  </si>
  <si>
    <t>NARANJA VALENCIA INSTITUCIONAL 1000 G</t>
  </si>
  <si>
    <t>ÑAME INSTITUCIONAL 1000 G</t>
  </si>
  <si>
    <t>OREGANO INST  1000 G</t>
  </si>
  <si>
    <t>PAPA CRIOLLA INSTITUCIONAL 1000 G</t>
  </si>
  <si>
    <t>PAPA DE ACOMPAÑAMIENTO BULTO DE 50 KG</t>
  </si>
  <si>
    <t>PAPA PASTUSA 0 COLSUBS BULTO 50 KG N</t>
  </si>
  <si>
    <t>PAPA R-12 INSTITUCIONAL 1000 G</t>
  </si>
  <si>
    <t>PAPA PASTUSA INSTITUCIONAL 1000 G</t>
  </si>
  <si>
    <t>PAPA RICHI  INSTITUCIONAL 1000 G</t>
  </si>
  <si>
    <t>PAPA SABANERA INSTITUCIONAL 1000 G</t>
  </si>
  <si>
    <t>PAPAYA HAWAIANA INSTITUCIONAL 1000 G</t>
  </si>
  <si>
    <t>PAPAYA INSTITUCIONAL 1000 G</t>
  </si>
  <si>
    <t>PAPAYUELA  INSTITUCIONAL 1000 G</t>
  </si>
  <si>
    <t>PATILLA INSTITUCIONAL 1000 G</t>
  </si>
  <si>
    <t>PEPINO COHOMBRO INSTIUCIONAL 1000 G</t>
  </si>
  <si>
    <t>PEPINO EUROPEO INSTITUCIONAL 1000 G</t>
  </si>
  <si>
    <t>PEPINO RELLENAR INSTITUCIONAL 1000 G</t>
  </si>
  <si>
    <t>PERA IMPORTADA KILO ISNTITUC 1000 G</t>
  </si>
  <si>
    <t>PERA NACIONAL</t>
  </si>
  <si>
    <t>PEREJIL INST  1000 G</t>
  </si>
  <si>
    <t>PEREJIL LISO INSTITUCIONAL X 1000 G</t>
  </si>
  <si>
    <t>PIMENTON AMARILLO INSTITUCIONAL 1000 G</t>
  </si>
  <si>
    <t>PIMENTON ROJO INSTITUCIONAL 1000 G</t>
  </si>
  <si>
    <t>PIMENTON VERDE INSTITUCIONAL 1000 G</t>
  </si>
  <si>
    <t>PIÑA INSTITUCIONAL 1000 G</t>
  </si>
  <si>
    <t>PIÑA PEROLERA INSTITUCIONAL 1000 G</t>
  </si>
  <si>
    <t>PITAHAYA INSTITUCIONAL 1000 G</t>
  </si>
  <si>
    <t>PLATANO GUINEO COLECIERO INST 1000 G</t>
  </si>
  <si>
    <t>PLATANO MADURO INSTITUCIONAL 1000 G</t>
  </si>
  <si>
    <t>PLATANO VERDE INSTITUCIONAL 1000 G</t>
  </si>
  <si>
    <t>POLVO DE AJI DE CHILE ROJO INST  1000 G</t>
  </si>
  <si>
    <t>QUINUA INSTITUCIONAL X 1000 G</t>
  </si>
  <si>
    <t>RABANO ROJO INSTITUCIONAL 1000 G</t>
  </si>
  <si>
    <t>RAIZ CHINA INSTITUCIONAL 1000 G</t>
  </si>
  <si>
    <t>REMOLACHA INSTITUCIONAL 1000 G</t>
  </si>
  <si>
    <t>REPOLLO BLANCO INSTITUCIONAL 1000 G</t>
  </si>
  <si>
    <t>REPOLLO MORADO INSTITUCIONAL 1000 G</t>
  </si>
  <si>
    <t>ROMERO INST 1000 G</t>
  </si>
  <si>
    <t>RUGULA BOLSA 180 G</t>
  </si>
  <si>
    <t>RUGULA INST  1000 G</t>
  </si>
  <si>
    <t>SALVIA INST  1000 G</t>
  </si>
  <si>
    <t>SALVIA INSTITUCIONAL X 100 G</t>
  </si>
  <si>
    <t>SANDIA INSTITUCIONAL 1000G</t>
  </si>
  <si>
    <t>SEMILLAS CALABAZA INSTITUCIONAL X 1000 G</t>
  </si>
  <si>
    <t>SEMILLAS GIRASOL INSTITUCIONAL X 1000 G</t>
  </si>
  <si>
    <t>TALLOS INSTITUCIONAL 1000 G</t>
  </si>
  <si>
    <t>TAMARINDO INSTITUCIONAL 1000G</t>
  </si>
  <si>
    <t>TOMATE ARBOL INSTITUCIONAL 1000 G</t>
  </si>
  <si>
    <t>TOMATE CHERRY CANASTA 500 G</t>
  </si>
  <si>
    <t>TOMATE CHONTO INSTITUCIONAL 1000 G</t>
  </si>
  <si>
    <t>TOMATE LARGA VIDA INSTITUCIONAL 1000 G</t>
  </si>
  <si>
    <t>TOMATE MILANO INSTITUCIONAL 1000 G</t>
  </si>
  <si>
    <t>TOMATE UVALINA INST GRANEL 1000 G</t>
  </si>
  <si>
    <t>TOMILLO INST  1000 G</t>
  </si>
  <si>
    <t>UCHUVA INSTITUCIONAL 1000 G</t>
  </si>
  <si>
    <t>UVA IMPORTADA X 1000G</t>
  </si>
  <si>
    <t>UVA NEGRA KILO INSTITUCIONAL</t>
  </si>
  <si>
    <t>UVA ROJA INSTITUCIONAL 1000 G</t>
  </si>
  <si>
    <t>UVA VERDE INSTITUCIONAL 1000 G</t>
  </si>
  <si>
    <t>YACON INSTITUCIONAL X 1000 G</t>
  </si>
  <si>
    <t>YUCA INSTITUCIONAL 1000 GMS</t>
  </si>
  <si>
    <t>ZANAHORIA BABY ORG INSTITUCIONAL 1000 G</t>
  </si>
  <si>
    <t>ZANAHORIA INSTITUCIONAL 1000 G</t>
  </si>
  <si>
    <t>ZAPOTE INSTITUCIONAL 1000 G</t>
  </si>
  <si>
    <t>TOMATE CHERRY DE COLORES 1000gr</t>
  </si>
  <si>
    <t>CEBOLLA CHINA INST X K</t>
  </si>
  <si>
    <t>ZANAHORIA BABY COLORES INST X1000g</t>
  </si>
  <si>
    <t>CHAMPIÑON SHITAKE INST X KG</t>
  </si>
  <si>
    <t>COL CHINA INSTITUCIONAL 1000 G</t>
  </si>
  <si>
    <t>ZUCHINI AMARILLO INSTITUCIONAL 1000 G</t>
  </si>
  <si>
    <t>ZUCHINI VERDE INSTITUCIONAL 1000 G</t>
  </si>
  <si>
    <t>personal</t>
  </si>
  <si>
    <t>TORONJA INSTITUCIONAL 1000G</t>
  </si>
  <si>
    <t>pequeña y delgada</t>
  </si>
  <si>
    <t>PAICO KG</t>
  </si>
  <si>
    <t>PALMITOS FRESCOS PREMIUM KG</t>
  </si>
  <si>
    <t>FLOR DE CALABAZA KG</t>
  </si>
  <si>
    <t>gruesa</t>
  </si>
  <si>
    <t>GRUESA</t>
  </si>
  <si>
    <t>de un promedio de 130 gr c/u</t>
  </si>
  <si>
    <t>POLEO</t>
  </si>
  <si>
    <t>ALBAHACA MORADA FRESCA BLX50G</t>
  </si>
  <si>
    <t>ACHIOTE EN PEPA KG</t>
  </si>
  <si>
    <t>BOROJO</t>
  </si>
  <si>
    <t>c</t>
  </si>
  <si>
    <t>LIMON MANDARINO KG</t>
  </si>
  <si>
    <t>madura</t>
  </si>
  <si>
    <t xml:space="preserve">DELGADOS </t>
  </si>
  <si>
    <t>ÑAME ESPINO</t>
  </si>
  <si>
    <t>LECHUGA ROBLE MORADA</t>
  </si>
  <si>
    <t>LECHUGA ROBLE VERDE</t>
  </si>
  <si>
    <t>BROTES MIX VERDE 50 GRS</t>
  </si>
  <si>
    <t>JENGIBRE COLSUBSIDIO 1000 G</t>
  </si>
  <si>
    <t>HIERBABUENA INST 1000 G</t>
  </si>
  <si>
    <t>1482751 </t>
  </si>
  <si>
    <t>sabila kg</t>
  </si>
  <si>
    <t>ZAPAyO</t>
  </si>
  <si>
    <t xml:space="preserve"> maduro</t>
  </si>
  <si>
    <t>champiñon baby bella</t>
  </si>
  <si>
    <t xml:space="preserve">chgampiñon shitake </t>
  </si>
  <si>
    <t>UVA ISABELITA KG</t>
  </si>
  <si>
    <t>MORA SILVESTRE</t>
  </si>
  <si>
    <t>PAPA NATIVA KG</t>
  </si>
  <si>
    <t>GERMINADOS ESPECIALES CAJA 100 GR alicol</t>
  </si>
  <si>
    <t>maduro</t>
  </si>
  <si>
    <t>165minigranel de 15 a 20 gr y 20 k gruesa</t>
  </si>
  <si>
    <t>28 k minigranel Y 30 PARA SALAR</t>
  </si>
  <si>
    <t>50 maduro el resto pinton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</si>
</sst>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Aptos Narrow"/>
      <family val="2"/>
    </font>
    <font>
      <b/>
      <sz val="12"/>
      <color theme="1"/>
      <name val="Aptos"/>
      <family val="2"/>
    </font>
    <font>
      <sz val="10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3" fillId="3" borderId="0" applyNumberFormat="0" applyBorder="0" applyAlignment="0" applyProtection="0"/>
  </cellStyleXfs>
  <cellXfs count="88">
    <xf numFmtId="0" fontId="0" fillId="0" borderId="0" xfId="0"/>
    <xf numFmtId="0" fontId="46" fillId="0" borderId="1" xfId="0" applyFont="1" applyBorder="1" applyAlignment="1">
      <alignment horizontal="center"/>
    </xf>
    <xf numFmtId="0" fontId="46" fillId="0" borderId="1" xfId="0" applyFont="1" applyBorder="1"/>
    <xf numFmtId="0" fontId="46" fillId="0" borderId="2" xfId="0" applyFont="1" applyBorder="1" applyAlignment="1">
      <alignment horizontal="center"/>
    </xf>
    <xf numFmtId="0" fontId="46" fillId="0" borderId="3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46" fillId="0" borderId="0" xfId="0" applyFont="1"/>
    <xf numFmtId="0" fontId="47" fillId="0" borderId="1" xfId="0" applyFont="1" applyBorder="1" applyAlignment="1">
      <alignment horizontal="right" vertical="center"/>
    </xf>
    <xf numFmtId="0" fontId="48" fillId="0" borderId="1" xfId="0" applyFont="1" applyBorder="1" applyAlignment="1">
      <alignment vertical="center"/>
    </xf>
    <xf numFmtId="0" fontId="49" fillId="0" borderId="1" xfId="0" applyFont="1" applyBorder="1"/>
    <xf numFmtId="0" fontId="50" fillId="0" borderId="1" xfId="0" applyFont="1" applyBorder="1"/>
    <xf numFmtId="0" fontId="47" fillId="0" borderId="1" xfId="0" applyFont="1" applyBorder="1" applyAlignment="1">
      <alignment vertical="center"/>
    </xf>
    <xf numFmtId="0" fontId="51" fillId="0" borderId="1" xfId="0" applyFont="1" applyBorder="1"/>
    <xf numFmtId="0" fontId="46" fillId="2" borderId="1" xfId="0" applyFont="1" applyFill="1" applyBorder="1"/>
    <xf numFmtId="0" fontId="0" fillId="2" borderId="5" xfId="0" applyFill="1" applyBorder="1"/>
    <xf numFmtId="0" fontId="0" fillId="0" borderId="4" xfId="0" applyBorder="1"/>
    <xf numFmtId="0" fontId="45" fillId="2" borderId="1" xfId="0" applyFont="1" applyFill="1" applyBorder="1"/>
    <xf numFmtId="0" fontId="44" fillId="2" borderId="1" xfId="0" applyFont="1" applyFill="1" applyBorder="1"/>
    <xf numFmtId="0" fontId="43" fillId="0" borderId="0" xfId="0" applyFont="1"/>
    <xf numFmtId="0" fontId="42" fillId="0" borderId="0" xfId="0" applyFont="1"/>
    <xf numFmtId="0" fontId="41" fillId="0" borderId="0" xfId="0" applyFont="1"/>
    <xf numFmtId="0" fontId="40" fillId="0" borderId="0" xfId="0" applyFont="1"/>
    <xf numFmtId="0" fontId="39" fillId="2" borderId="1" xfId="0" applyFont="1" applyFill="1" applyBorder="1"/>
    <xf numFmtId="0" fontId="38" fillId="0" borderId="0" xfId="0" applyFont="1"/>
    <xf numFmtId="0" fontId="53" fillId="0" borderId="0" xfId="1" applyFill="1"/>
    <xf numFmtId="0" fontId="37" fillId="0" borderId="0" xfId="0" applyFont="1"/>
    <xf numFmtId="0" fontId="36" fillId="0" borderId="0" xfId="0" applyFont="1"/>
    <xf numFmtId="0" fontId="35" fillId="0" borderId="0" xfId="0" applyFont="1"/>
    <xf numFmtId="0" fontId="34" fillId="0" borderId="0" xfId="0" applyFont="1"/>
    <xf numFmtId="0" fontId="33" fillId="2" borderId="1" xfId="0" applyFont="1" applyFill="1" applyBorder="1"/>
    <xf numFmtId="0" fontId="32" fillId="2" borderId="1" xfId="0" applyFont="1" applyFill="1" applyBorder="1"/>
    <xf numFmtId="0" fontId="31" fillId="0" borderId="1" xfId="0" applyFont="1" applyBorder="1"/>
    <xf numFmtId="0" fontId="0" fillId="0" borderId="0" xfId="0" applyAlignment="1">
      <alignment horizontal="center"/>
    </xf>
    <xf numFmtId="0" fontId="30" fillId="2" borderId="1" xfId="0" applyFont="1" applyFill="1" applyBorder="1"/>
    <xf numFmtId="0" fontId="29" fillId="0" borderId="0" xfId="0" applyFont="1"/>
    <xf numFmtId="0" fontId="28" fillId="2" borderId="1" xfId="0" applyFont="1" applyFill="1" applyBorder="1"/>
    <xf numFmtId="0" fontId="28" fillId="0" borderId="0" xfId="0" applyFont="1"/>
    <xf numFmtId="0" fontId="27" fillId="0" borderId="0" xfId="0" applyFont="1"/>
    <xf numFmtId="0" fontId="26" fillId="2" borderId="1" xfId="0" applyFont="1" applyFill="1" applyBorder="1"/>
    <xf numFmtId="0" fontId="25" fillId="0" borderId="0" xfId="0" applyFont="1"/>
    <xf numFmtId="0" fontId="24" fillId="0" borderId="0" xfId="0" applyFont="1"/>
    <xf numFmtId="0" fontId="23" fillId="2" borderId="1" xfId="0" applyFont="1" applyFill="1" applyBorder="1"/>
    <xf numFmtId="0" fontId="23" fillId="0" borderId="0" xfId="0" applyFont="1"/>
    <xf numFmtId="0" fontId="22" fillId="0" borderId="0" xfId="0" applyFont="1"/>
    <xf numFmtId="0" fontId="21" fillId="2" borderId="1" xfId="0" applyFont="1" applyFill="1" applyBorder="1"/>
    <xf numFmtId="0" fontId="20" fillId="2" borderId="1" xfId="0" applyFont="1" applyFill="1" applyBorder="1"/>
    <xf numFmtId="0" fontId="19" fillId="2" borderId="1" xfId="0" applyFont="1" applyFill="1" applyBorder="1"/>
    <xf numFmtId="0" fontId="18" fillId="2" borderId="1" xfId="0" applyFont="1" applyFill="1" applyBorder="1"/>
    <xf numFmtId="0" fontId="17" fillId="2" borderId="1" xfId="0" applyFont="1" applyFill="1" applyBorder="1"/>
    <xf numFmtId="0" fontId="17" fillId="0" borderId="1" xfId="0" applyFont="1" applyBorder="1"/>
    <xf numFmtId="0" fontId="16" fillId="2" borderId="1" xfId="0" applyFont="1" applyFill="1" applyBorder="1"/>
    <xf numFmtId="0" fontId="15" fillId="0" borderId="1" xfId="0" applyFont="1" applyBorder="1"/>
    <xf numFmtId="0" fontId="14" fillId="0" borderId="0" xfId="0" applyFont="1"/>
    <xf numFmtId="0" fontId="14" fillId="2" borderId="1" xfId="0" applyFont="1" applyFill="1" applyBorder="1"/>
    <xf numFmtId="0" fontId="13" fillId="2" borderId="1" xfId="0" applyFont="1" applyFill="1" applyBorder="1"/>
    <xf numFmtId="0" fontId="54" fillId="0" borderId="6" xfId="0" applyFont="1" applyBorder="1" applyAlignment="1">
      <alignment horizontal="right" vertical="center"/>
    </xf>
    <xf numFmtId="0" fontId="54" fillId="0" borderId="7" xfId="0" applyFont="1" applyBorder="1" applyAlignment="1">
      <alignment horizontal="right" vertical="center"/>
    </xf>
    <xf numFmtId="0" fontId="46" fillId="0" borderId="8" xfId="0" applyFont="1" applyBorder="1"/>
    <xf numFmtId="0" fontId="46" fillId="0" borderId="4" xfId="0" applyFont="1" applyBorder="1" applyAlignment="1">
      <alignment horizontal="center"/>
    </xf>
    <xf numFmtId="0" fontId="55" fillId="0" borderId="0" xfId="0" applyFont="1"/>
    <xf numFmtId="0" fontId="12" fillId="4" borderId="1" xfId="0" applyFont="1" applyFill="1" applyBorder="1"/>
    <xf numFmtId="0" fontId="0" fillId="0" borderId="5" xfId="0" applyBorder="1"/>
    <xf numFmtId="0" fontId="52" fillId="0" borderId="5" xfId="0" applyFont="1" applyBorder="1"/>
    <xf numFmtId="0" fontId="0" fillId="2" borderId="4" xfId="0" applyFill="1" applyBorder="1"/>
    <xf numFmtId="0" fontId="46" fillId="0" borderId="4" xfId="0" applyFont="1" applyBorder="1"/>
    <xf numFmtId="0" fontId="11" fillId="0" borderId="1" xfId="0" applyFont="1" applyBorder="1"/>
    <xf numFmtId="0" fontId="10" fillId="0" borderId="1" xfId="0" applyFont="1" applyBorder="1"/>
    <xf numFmtId="0" fontId="9" fillId="0" borderId="1" xfId="0" applyFont="1" applyBorder="1"/>
    <xf numFmtId="0" fontId="0" fillId="0" borderId="8" xfId="0" applyBorder="1"/>
    <xf numFmtId="0" fontId="56" fillId="0" borderId="0" xfId="0" applyFont="1"/>
    <xf numFmtId="0" fontId="8" fillId="2" borderId="1" xfId="0" applyFont="1" applyFill="1" applyBorder="1"/>
    <xf numFmtId="0" fontId="7" fillId="0" borderId="1" xfId="0" applyFont="1" applyBorder="1"/>
    <xf numFmtId="0" fontId="6" fillId="0" borderId="1" xfId="0" applyFont="1" applyBorder="1"/>
    <xf numFmtId="0" fontId="5" fillId="2" borderId="1" xfId="0" applyFont="1" applyFill="1" applyBorder="1"/>
    <xf numFmtId="0" fontId="4" fillId="0" borderId="1" xfId="0" applyFont="1" applyBorder="1"/>
    <xf numFmtId="0" fontId="0" fillId="4" borderId="0" xfId="0" applyFill="1"/>
    <xf numFmtId="0" fontId="0" fillId="7" borderId="1" xfId="0" applyFill="1" applyBorder="1"/>
    <xf numFmtId="0" fontId="4" fillId="7" borderId="1" xfId="0" applyFont="1" applyFill="1" applyBorder="1"/>
    <xf numFmtId="0" fontId="0" fillId="7" borderId="1" xfId="0" applyFill="1" applyBorder="1" applyAlignment="1">
      <alignment horizontal="center"/>
    </xf>
    <xf numFmtId="0" fontId="0" fillId="7" borderId="0" xfId="0" applyFill="1"/>
    <xf numFmtId="0" fontId="23" fillId="7" borderId="0" xfId="0" applyFont="1" applyFill="1"/>
    <xf numFmtId="0" fontId="28" fillId="7" borderId="0" xfId="0" applyFont="1" applyFill="1"/>
    <xf numFmtId="0" fontId="3" fillId="4" borderId="6" xfId="0" applyFont="1" applyFill="1" applyBorder="1" applyAlignment="1">
      <alignment horizontal="left" wrapText="1"/>
    </xf>
    <xf numFmtId="0" fontId="2" fillId="5" borderId="1" xfId="0" applyFont="1" applyFill="1" applyBorder="1"/>
    <xf numFmtId="0" fontId="1" fillId="6" borderId="1" xfId="0" applyFont="1" applyFill="1" applyBorder="1"/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611"/>
  <sheetViews>
    <sheetView tabSelected="1" topLeftCell="A2" zoomScale="90" zoomScaleNormal="90" workbookViewId="0">
      <pane xSplit="1" ySplit="2" topLeftCell="B4" activePane="bottomRight" state="frozen"/>
      <selection pane="topRight"/>
      <selection pane="bottomLeft"/>
      <selection pane="bottomRight" activeCell="U96" sqref="U96"/>
    </sheetView>
  </sheetViews>
  <sheetFormatPr baseColWidth="10" defaultColWidth="11.42578125" defaultRowHeight="15"/>
  <cols>
    <col min="1" max="1" width="11.5703125" customWidth="1"/>
    <col min="2" max="2" width="48.7109375" customWidth="1"/>
    <col min="3" max="3" width="22.7109375" customWidth="1"/>
    <col min="4" max="4" width="17.140625" hidden="1" customWidth="1"/>
    <col min="5" max="5" width="16.7109375" hidden="1" customWidth="1"/>
    <col min="6" max="6" width="9.85546875" hidden="1" customWidth="1"/>
    <col min="7" max="7" width="19.85546875" hidden="1" customWidth="1"/>
    <col min="8" max="8" width="17.42578125" hidden="1" customWidth="1"/>
    <col min="9" max="9" width="7.85546875" hidden="1" customWidth="1"/>
    <col min="10" max="10" width="8.7109375" hidden="1" customWidth="1"/>
    <col min="11" max="11" width="55.28515625" style="6" customWidth="1"/>
    <col min="12" max="12" width="24.42578125" customWidth="1"/>
    <col min="13" max="13" width="13.42578125" customWidth="1"/>
    <col min="258" max="258" width="43" customWidth="1"/>
    <col min="259" max="259" width="17.7109375" customWidth="1"/>
    <col min="260" max="260" width="16.42578125" customWidth="1"/>
    <col min="514" max="514" width="43" customWidth="1"/>
    <col min="515" max="515" width="17.7109375" customWidth="1"/>
    <col min="516" max="516" width="16.42578125" customWidth="1"/>
    <col min="770" max="770" width="43" customWidth="1"/>
    <col min="771" max="771" width="17.7109375" customWidth="1"/>
    <col min="772" max="772" width="16.42578125" customWidth="1"/>
    <col min="1026" max="1026" width="43" customWidth="1"/>
    <col min="1027" max="1027" width="17.7109375" customWidth="1"/>
    <col min="1028" max="1028" width="16.42578125" customWidth="1"/>
    <col min="1282" max="1282" width="43" customWidth="1"/>
    <col min="1283" max="1283" width="17.7109375" customWidth="1"/>
    <col min="1284" max="1284" width="16.42578125" customWidth="1"/>
    <col min="1538" max="1538" width="43" customWidth="1"/>
    <col min="1539" max="1539" width="17.7109375" customWidth="1"/>
    <col min="1540" max="1540" width="16.42578125" customWidth="1"/>
    <col min="1794" max="1794" width="43" customWidth="1"/>
    <col min="1795" max="1795" width="17.7109375" customWidth="1"/>
    <col min="1796" max="1796" width="16.42578125" customWidth="1"/>
    <col min="2050" max="2050" width="43" customWidth="1"/>
    <col min="2051" max="2051" width="17.7109375" customWidth="1"/>
    <col min="2052" max="2052" width="16.42578125" customWidth="1"/>
    <col min="2306" max="2306" width="43" customWidth="1"/>
    <col min="2307" max="2307" width="17.7109375" customWidth="1"/>
    <col min="2308" max="2308" width="16.42578125" customWidth="1"/>
    <col min="2562" max="2562" width="43" customWidth="1"/>
    <col min="2563" max="2563" width="17.7109375" customWidth="1"/>
    <col min="2564" max="2564" width="16.42578125" customWidth="1"/>
    <col min="2818" max="2818" width="43" customWidth="1"/>
    <col min="2819" max="2819" width="17.7109375" customWidth="1"/>
    <col min="2820" max="2820" width="16.42578125" customWidth="1"/>
    <col min="3074" max="3074" width="43" customWidth="1"/>
    <col min="3075" max="3075" width="17.7109375" customWidth="1"/>
    <col min="3076" max="3076" width="16.42578125" customWidth="1"/>
    <col min="3330" max="3330" width="43" customWidth="1"/>
    <col min="3331" max="3331" width="17.7109375" customWidth="1"/>
    <col min="3332" max="3332" width="16.42578125" customWidth="1"/>
    <col min="3586" max="3586" width="43" customWidth="1"/>
    <col min="3587" max="3587" width="17.7109375" customWidth="1"/>
    <col min="3588" max="3588" width="16.42578125" customWidth="1"/>
    <col min="3842" max="3842" width="43" customWidth="1"/>
    <col min="3843" max="3843" width="17.7109375" customWidth="1"/>
    <col min="3844" max="3844" width="16.42578125" customWidth="1"/>
    <col min="4098" max="4098" width="43" customWidth="1"/>
    <col min="4099" max="4099" width="17.7109375" customWidth="1"/>
    <col min="4100" max="4100" width="16.42578125" customWidth="1"/>
    <col min="4354" max="4354" width="43" customWidth="1"/>
    <col min="4355" max="4355" width="17.7109375" customWidth="1"/>
    <col min="4356" max="4356" width="16.42578125" customWidth="1"/>
    <col min="4610" max="4610" width="43" customWidth="1"/>
    <col min="4611" max="4611" width="17.7109375" customWidth="1"/>
    <col min="4612" max="4612" width="16.42578125" customWidth="1"/>
    <col min="4866" max="4866" width="43" customWidth="1"/>
    <col min="4867" max="4867" width="17.7109375" customWidth="1"/>
    <col min="4868" max="4868" width="16.42578125" customWidth="1"/>
    <col min="5122" max="5122" width="43" customWidth="1"/>
    <col min="5123" max="5123" width="17.7109375" customWidth="1"/>
    <col min="5124" max="5124" width="16.42578125" customWidth="1"/>
    <col min="5378" max="5378" width="43" customWidth="1"/>
    <col min="5379" max="5379" width="17.7109375" customWidth="1"/>
    <col min="5380" max="5380" width="16.42578125" customWidth="1"/>
    <col min="5634" max="5634" width="43" customWidth="1"/>
    <col min="5635" max="5635" width="17.7109375" customWidth="1"/>
    <col min="5636" max="5636" width="16.42578125" customWidth="1"/>
    <col min="5890" max="5890" width="43" customWidth="1"/>
    <col min="5891" max="5891" width="17.7109375" customWidth="1"/>
    <col min="5892" max="5892" width="16.42578125" customWidth="1"/>
    <col min="6146" max="6146" width="43" customWidth="1"/>
    <col min="6147" max="6147" width="17.7109375" customWidth="1"/>
    <col min="6148" max="6148" width="16.42578125" customWidth="1"/>
    <col min="6402" max="6402" width="43" customWidth="1"/>
    <col min="6403" max="6403" width="17.7109375" customWidth="1"/>
    <col min="6404" max="6404" width="16.42578125" customWidth="1"/>
    <col min="6658" max="6658" width="43" customWidth="1"/>
    <col min="6659" max="6659" width="17.7109375" customWidth="1"/>
    <col min="6660" max="6660" width="16.42578125" customWidth="1"/>
    <col min="6914" max="6914" width="43" customWidth="1"/>
    <col min="6915" max="6915" width="17.7109375" customWidth="1"/>
    <col min="6916" max="6916" width="16.42578125" customWidth="1"/>
    <col min="7170" max="7170" width="43" customWidth="1"/>
    <col min="7171" max="7171" width="17.7109375" customWidth="1"/>
    <col min="7172" max="7172" width="16.42578125" customWidth="1"/>
    <col min="7426" max="7426" width="43" customWidth="1"/>
    <col min="7427" max="7427" width="17.7109375" customWidth="1"/>
    <col min="7428" max="7428" width="16.42578125" customWidth="1"/>
    <col min="7682" max="7682" width="43" customWidth="1"/>
    <col min="7683" max="7683" width="17.7109375" customWidth="1"/>
    <col min="7684" max="7684" width="16.42578125" customWidth="1"/>
    <col min="7938" max="7938" width="43" customWidth="1"/>
    <col min="7939" max="7939" width="17.7109375" customWidth="1"/>
    <col min="7940" max="7940" width="16.42578125" customWidth="1"/>
    <col min="8194" max="8194" width="43" customWidth="1"/>
    <col min="8195" max="8195" width="17.7109375" customWidth="1"/>
    <col min="8196" max="8196" width="16.42578125" customWidth="1"/>
    <col min="8450" max="8450" width="43" customWidth="1"/>
    <col min="8451" max="8451" width="17.7109375" customWidth="1"/>
    <col min="8452" max="8452" width="16.42578125" customWidth="1"/>
    <col min="8706" max="8706" width="43" customWidth="1"/>
    <col min="8707" max="8707" width="17.7109375" customWidth="1"/>
    <col min="8708" max="8708" width="16.42578125" customWidth="1"/>
    <col min="8962" max="8962" width="43" customWidth="1"/>
    <col min="8963" max="8963" width="17.7109375" customWidth="1"/>
    <col min="8964" max="8964" width="16.42578125" customWidth="1"/>
    <col min="9218" max="9218" width="43" customWidth="1"/>
    <col min="9219" max="9219" width="17.7109375" customWidth="1"/>
    <col min="9220" max="9220" width="16.42578125" customWidth="1"/>
    <col min="9474" max="9474" width="43" customWidth="1"/>
    <col min="9475" max="9475" width="17.7109375" customWidth="1"/>
    <col min="9476" max="9476" width="16.42578125" customWidth="1"/>
    <col min="9730" max="9730" width="43" customWidth="1"/>
    <col min="9731" max="9731" width="17.7109375" customWidth="1"/>
    <col min="9732" max="9732" width="16.42578125" customWidth="1"/>
    <col min="9986" max="9986" width="43" customWidth="1"/>
    <col min="9987" max="9987" width="17.7109375" customWidth="1"/>
    <col min="9988" max="9988" width="16.42578125" customWidth="1"/>
    <col min="10242" max="10242" width="43" customWidth="1"/>
    <col min="10243" max="10243" width="17.7109375" customWidth="1"/>
    <col min="10244" max="10244" width="16.42578125" customWidth="1"/>
    <col min="10498" max="10498" width="43" customWidth="1"/>
    <col min="10499" max="10499" width="17.7109375" customWidth="1"/>
    <col min="10500" max="10500" width="16.42578125" customWidth="1"/>
    <col min="10754" max="10754" width="43" customWidth="1"/>
    <col min="10755" max="10755" width="17.7109375" customWidth="1"/>
    <col min="10756" max="10756" width="16.42578125" customWidth="1"/>
    <col min="11010" max="11010" width="43" customWidth="1"/>
    <col min="11011" max="11011" width="17.7109375" customWidth="1"/>
    <col min="11012" max="11012" width="16.42578125" customWidth="1"/>
    <col min="11266" max="11266" width="43" customWidth="1"/>
    <col min="11267" max="11267" width="17.7109375" customWidth="1"/>
    <col min="11268" max="11268" width="16.42578125" customWidth="1"/>
    <col min="11522" max="11522" width="43" customWidth="1"/>
    <col min="11523" max="11523" width="17.7109375" customWidth="1"/>
    <col min="11524" max="11524" width="16.42578125" customWidth="1"/>
    <col min="11778" max="11778" width="43" customWidth="1"/>
    <col min="11779" max="11779" width="17.7109375" customWidth="1"/>
    <col min="11780" max="11780" width="16.42578125" customWidth="1"/>
    <col min="12034" max="12034" width="43" customWidth="1"/>
    <col min="12035" max="12035" width="17.7109375" customWidth="1"/>
    <col min="12036" max="12036" width="16.42578125" customWidth="1"/>
    <col min="12290" max="12290" width="43" customWidth="1"/>
    <col min="12291" max="12291" width="17.7109375" customWidth="1"/>
    <col min="12292" max="12292" width="16.42578125" customWidth="1"/>
    <col min="12546" max="12546" width="43" customWidth="1"/>
    <col min="12547" max="12547" width="17.7109375" customWidth="1"/>
    <col min="12548" max="12548" width="16.42578125" customWidth="1"/>
    <col min="12802" max="12802" width="43" customWidth="1"/>
    <col min="12803" max="12803" width="17.7109375" customWidth="1"/>
    <col min="12804" max="12804" width="16.42578125" customWidth="1"/>
    <col min="13058" max="13058" width="43" customWidth="1"/>
    <col min="13059" max="13059" width="17.7109375" customWidth="1"/>
    <col min="13060" max="13060" width="16.42578125" customWidth="1"/>
    <col min="13314" max="13314" width="43" customWidth="1"/>
    <col min="13315" max="13315" width="17.7109375" customWidth="1"/>
    <col min="13316" max="13316" width="16.42578125" customWidth="1"/>
    <col min="13570" max="13570" width="43" customWidth="1"/>
    <col min="13571" max="13571" width="17.7109375" customWidth="1"/>
    <col min="13572" max="13572" width="16.42578125" customWidth="1"/>
    <col min="13826" max="13826" width="43" customWidth="1"/>
    <col min="13827" max="13827" width="17.7109375" customWidth="1"/>
    <col min="13828" max="13828" width="16.42578125" customWidth="1"/>
    <col min="14082" max="14082" width="43" customWidth="1"/>
    <col min="14083" max="14083" width="17.7109375" customWidth="1"/>
    <col min="14084" max="14084" width="16.42578125" customWidth="1"/>
    <col min="14338" max="14338" width="43" customWidth="1"/>
    <col min="14339" max="14339" width="17.7109375" customWidth="1"/>
    <col min="14340" max="14340" width="16.42578125" customWidth="1"/>
    <col min="14594" max="14594" width="43" customWidth="1"/>
    <col min="14595" max="14595" width="17.7109375" customWidth="1"/>
    <col min="14596" max="14596" width="16.42578125" customWidth="1"/>
    <col min="14850" max="14850" width="43" customWidth="1"/>
    <col min="14851" max="14851" width="17.7109375" customWidth="1"/>
    <col min="14852" max="14852" width="16.42578125" customWidth="1"/>
    <col min="15106" max="15106" width="43" customWidth="1"/>
    <col min="15107" max="15107" width="17.7109375" customWidth="1"/>
    <col min="15108" max="15108" width="16.42578125" customWidth="1"/>
    <col min="15362" max="15362" width="43" customWidth="1"/>
    <col min="15363" max="15363" width="17.7109375" customWidth="1"/>
    <col min="15364" max="15364" width="16.42578125" customWidth="1"/>
    <col min="15618" max="15618" width="43" customWidth="1"/>
    <col min="15619" max="15619" width="17.7109375" customWidth="1"/>
    <col min="15620" max="15620" width="16.42578125" customWidth="1"/>
    <col min="15874" max="15874" width="43" customWidth="1"/>
    <col min="15875" max="15875" width="17.7109375" customWidth="1"/>
    <col min="15876" max="15876" width="16.42578125" customWidth="1"/>
    <col min="16130" max="16130" width="43" customWidth="1"/>
    <col min="16131" max="16131" width="17.7109375" customWidth="1"/>
    <col min="16132" max="16132" width="16.42578125" customWidth="1"/>
  </cols>
  <sheetData>
    <row r="1" spans="1:14" hidden="1"/>
    <row r="2" spans="1:14" ht="14.25" customHeight="1" thickBot="1"/>
    <row r="3" spans="1:14" ht="18" customHeight="1" thickBot="1">
      <c r="A3" t="s">
        <v>0</v>
      </c>
      <c r="B3" s="60" t="s">
        <v>1</v>
      </c>
      <c r="C3" s="85">
        <v>7900405437</v>
      </c>
    </row>
    <row r="4" spans="1:14" ht="24" customHeight="1">
      <c r="A4" s="1" t="s">
        <v>2</v>
      </c>
      <c r="B4" s="1" t="s">
        <v>3</v>
      </c>
      <c r="C4" s="61"/>
      <c r="D4" s="3" t="s">
        <v>4</v>
      </c>
      <c r="E4" s="4" t="s">
        <v>5</v>
      </c>
      <c r="F4" s="4" t="s">
        <v>6</v>
      </c>
      <c r="G4" s="4" t="s">
        <v>7</v>
      </c>
      <c r="H4" s="4" t="s">
        <v>229</v>
      </c>
      <c r="I4" s="4" t="s">
        <v>8</v>
      </c>
      <c r="J4" s="5">
        <v>195</v>
      </c>
      <c r="K4" s="2" t="s">
        <v>9</v>
      </c>
      <c r="N4" s="45"/>
    </row>
    <row r="5" spans="1:14" ht="15.75" hidden="1" customHeight="1">
      <c r="A5" s="6">
        <v>1402443</v>
      </c>
      <c r="B5" s="6" t="s">
        <v>10</v>
      </c>
      <c r="C5" s="7">
        <f>D5+E5+F5+H5+I5+G5+J5</f>
        <v>0</v>
      </c>
      <c r="K5" s="8"/>
    </row>
    <row r="6" spans="1:14" ht="15.75" hidden="1" customHeight="1">
      <c r="A6" s="6">
        <v>194599</v>
      </c>
      <c r="B6" s="2" t="s">
        <v>11</v>
      </c>
      <c r="C6" s="7">
        <f>D6+E6+F6+H6+I6+G6+J6</f>
        <v>0</v>
      </c>
      <c r="H6" s="35"/>
      <c r="K6" s="8"/>
      <c r="M6" s="23"/>
    </row>
    <row r="7" spans="1:14" ht="15.75" hidden="1" customHeight="1">
      <c r="A7" s="6">
        <v>1403147</v>
      </c>
      <c r="B7" s="6" t="s">
        <v>12</v>
      </c>
      <c r="C7" s="7">
        <f t="shared" ref="C7:C71" si="0">D7+E7+F7+H7+I7+G7+J7</f>
        <v>0</v>
      </c>
      <c r="K7" s="8"/>
    </row>
    <row r="8" spans="1:14" ht="15.75" hidden="1" customHeight="1">
      <c r="A8" s="6">
        <v>1029817</v>
      </c>
      <c r="B8" s="6" t="s">
        <v>240</v>
      </c>
      <c r="C8" s="7">
        <f t="shared" si="0"/>
        <v>0</v>
      </c>
      <c r="H8" s="35"/>
      <c r="K8" s="8"/>
    </row>
    <row r="9" spans="1:14" ht="15.75" customHeight="1">
      <c r="A9" s="6">
        <v>733012</v>
      </c>
      <c r="B9" s="2" t="s">
        <v>13</v>
      </c>
      <c r="C9" s="7">
        <f t="shared" si="0"/>
        <v>1</v>
      </c>
      <c r="G9">
        <v>1</v>
      </c>
      <c r="K9" s="8"/>
      <c r="M9" s="43"/>
    </row>
    <row r="10" spans="1:14" ht="15.75" hidden="1" customHeight="1">
      <c r="A10" s="6">
        <v>33</v>
      </c>
      <c r="B10" s="6" t="s">
        <v>14</v>
      </c>
      <c r="C10" s="7">
        <f t="shared" si="0"/>
        <v>0</v>
      </c>
      <c r="E10" s="35"/>
      <c r="K10" s="8"/>
    </row>
    <row r="11" spans="1:14" ht="15.75" customHeight="1">
      <c r="A11" s="6">
        <v>62</v>
      </c>
      <c r="B11" s="77" t="s">
        <v>15</v>
      </c>
      <c r="C11" s="7">
        <f>D11+E11+F11+H11+I11+G11+J11</f>
        <v>110</v>
      </c>
      <c r="F11">
        <v>20</v>
      </c>
      <c r="G11">
        <v>50</v>
      </c>
      <c r="I11">
        <v>40</v>
      </c>
      <c r="K11" s="87" t="s">
        <v>265</v>
      </c>
      <c r="M11" s="43"/>
      <c r="N11" s="45"/>
    </row>
    <row r="12" spans="1:14" ht="15.75" hidden="1" customHeight="1">
      <c r="A12" s="6">
        <v>1402299</v>
      </c>
      <c r="B12" s="6" t="s">
        <v>16</v>
      </c>
      <c r="C12" s="7">
        <f t="shared" si="0"/>
        <v>0</v>
      </c>
      <c r="E12" s="35"/>
      <c r="G12" s="27"/>
      <c r="K12" s="16"/>
    </row>
    <row r="13" spans="1:14" ht="15.75" hidden="1" customHeight="1">
      <c r="A13" s="6">
        <v>646563</v>
      </c>
      <c r="B13" s="2" t="s">
        <v>17</v>
      </c>
      <c r="C13" s="7">
        <f t="shared" si="0"/>
        <v>0</v>
      </c>
      <c r="K13" s="63"/>
      <c r="M13" s="43"/>
    </row>
    <row r="14" spans="1:14" ht="15.75" hidden="1" customHeight="1">
      <c r="A14" s="6">
        <v>1420198</v>
      </c>
      <c r="B14" s="6" t="s">
        <v>18</v>
      </c>
      <c r="C14" s="7">
        <f t="shared" si="0"/>
        <v>0</v>
      </c>
      <c r="D14" s="27"/>
      <c r="K14" s="8"/>
      <c r="M14" s="30"/>
    </row>
    <row r="15" spans="1:14" ht="15.75" hidden="1" customHeight="1">
      <c r="A15" s="6">
        <v>1420201</v>
      </c>
      <c r="B15" s="6" t="s">
        <v>19</v>
      </c>
      <c r="C15" s="7">
        <f t="shared" si="0"/>
        <v>0</v>
      </c>
      <c r="K15" s="8"/>
    </row>
    <row r="16" spans="1:14" ht="15.75" hidden="1" customHeight="1">
      <c r="A16" s="6">
        <v>1420199</v>
      </c>
      <c r="B16" s="6" t="s">
        <v>20</v>
      </c>
      <c r="C16" s="7">
        <f t="shared" si="0"/>
        <v>0</v>
      </c>
      <c r="K16" s="8"/>
    </row>
    <row r="17" spans="1:14" ht="15.75" hidden="1" customHeight="1">
      <c r="A17" s="6">
        <v>1420200</v>
      </c>
      <c r="B17" s="6" t="s">
        <v>21</v>
      </c>
      <c r="C17" s="7">
        <f t="shared" si="0"/>
        <v>0</v>
      </c>
      <c r="K17" s="8"/>
    </row>
    <row r="18" spans="1:14" ht="15.75" hidden="1" customHeight="1">
      <c r="A18" s="6">
        <v>1420202</v>
      </c>
      <c r="B18" s="6" t="s">
        <v>22</v>
      </c>
      <c r="C18" s="7">
        <f t="shared" si="0"/>
        <v>0</v>
      </c>
      <c r="K18" s="8"/>
    </row>
    <row r="19" spans="1:14" ht="15.75" hidden="1" customHeight="1">
      <c r="A19" s="6">
        <v>1419283</v>
      </c>
      <c r="B19" s="6" t="s">
        <v>23</v>
      </c>
      <c r="C19" s="7">
        <f t="shared" si="0"/>
        <v>0</v>
      </c>
      <c r="K19" s="8"/>
    </row>
    <row r="20" spans="1:14" ht="15.75" hidden="1" customHeight="1">
      <c r="A20" s="6">
        <v>1399459</v>
      </c>
      <c r="B20" s="6" t="s">
        <v>24</v>
      </c>
      <c r="C20" s="7">
        <f t="shared" si="0"/>
        <v>0</v>
      </c>
      <c r="K20" s="8"/>
    </row>
    <row r="21" spans="1:14" ht="15.75" hidden="1" customHeight="1">
      <c r="A21" s="6">
        <v>1399458</v>
      </c>
      <c r="B21" s="6" t="s">
        <v>25</v>
      </c>
      <c r="C21" s="7">
        <f t="shared" si="0"/>
        <v>0</v>
      </c>
      <c r="K21" s="8"/>
    </row>
    <row r="22" spans="1:14" ht="15.75" hidden="1" customHeight="1">
      <c r="A22" s="6">
        <v>647056</v>
      </c>
      <c r="B22" s="6" t="s">
        <v>26</v>
      </c>
      <c r="C22" s="7">
        <f t="shared" si="0"/>
        <v>0</v>
      </c>
      <c r="D22" s="27"/>
      <c r="K22" s="25"/>
    </row>
    <row r="23" spans="1:14" ht="15.75" hidden="1" customHeight="1">
      <c r="A23" s="6">
        <v>647057</v>
      </c>
      <c r="B23" s="2" t="s">
        <v>27</v>
      </c>
      <c r="C23" s="7">
        <f t="shared" si="0"/>
        <v>0</v>
      </c>
      <c r="K23" s="8"/>
      <c r="M23" s="43"/>
      <c r="N23" s="45"/>
    </row>
    <row r="24" spans="1:14" ht="15.75" hidden="1" customHeight="1">
      <c r="A24" s="6">
        <v>1207665</v>
      </c>
      <c r="B24" s="6" t="s">
        <v>28</v>
      </c>
      <c r="C24" s="7">
        <f t="shared" si="0"/>
        <v>0</v>
      </c>
      <c r="K24" s="8"/>
    </row>
    <row r="25" spans="1:14" ht="15.75" hidden="1" customHeight="1">
      <c r="A25" s="6">
        <v>1402450</v>
      </c>
      <c r="B25" s="6" t="s">
        <v>29</v>
      </c>
      <c r="C25" s="7">
        <f t="shared" si="0"/>
        <v>0</v>
      </c>
      <c r="K25" s="8"/>
    </row>
    <row r="26" spans="1:14" ht="15.75" hidden="1" customHeight="1">
      <c r="A26" s="6">
        <v>1399461</v>
      </c>
      <c r="B26" s="77" t="s">
        <v>30</v>
      </c>
      <c r="C26" s="7">
        <f t="shared" si="0"/>
        <v>0</v>
      </c>
      <c r="K26" s="8"/>
      <c r="M26" s="43"/>
    </row>
    <row r="27" spans="1:14" ht="15.75" hidden="1" customHeight="1">
      <c r="A27" s="6">
        <v>1399462</v>
      </c>
      <c r="B27" s="2" t="s">
        <v>31</v>
      </c>
      <c r="C27" s="7">
        <f t="shared" si="0"/>
        <v>0</v>
      </c>
      <c r="K27" s="8"/>
      <c r="M27" s="43"/>
      <c r="N27" s="40"/>
    </row>
    <row r="28" spans="1:14" ht="15.75" hidden="1" customHeight="1">
      <c r="A28" s="6">
        <v>1441626</v>
      </c>
      <c r="B28" s="2" t="s">
        <v>239</v>
      </c>
      <c r="C28" s="7">
        <f t="shared" si="0"/>
        <v>0</v>
      </c>
      <c r="K28" s="8"/>
      <c r="M28" s="43"/>
      <c r="N28" s="40"/>
    </row>
    <row r="29" spans="1:14" ht="15.75" hidden="1" customHeight="1">
      <c r="A29" s="6">
        <v>647055</v>
      </c>
      <c r="B29" s="6" t="s">
        <v>32</v>
      </c>
      <c r="C29" s="7">
        <f t="shared" si="0"/>
        <v>0</v>
      </c>
      <c r="K29" s="8"/>
    </row>
    <row r="30" spans="1:14" ht="15.75" hidden="1" customHeight="1">
      <c r="A30" s="6">
        <v>737727</v>
      </c>
      <c r="B30" s="6" t="s">
        <v>33</v>
      </c>
      <c r="C30" s="7">
        <f t="shared" si="0"/>
        <v>0</v>
      </c>
      <c r="K30" s="8"/>
    </row>
    <row r="31" spans="1:14" ht="15.75" customHeight="1">
      <c r="A31" s="6">
        <v>646564</v>
      </c>
      <c r="B31" s="2" t="s">
        <v>34</v>
      </c>
      <c r="C31" s="7">
        <f t="shared" si="0"/>
        <v>6</v>
      </c>
      <c r="G31">
        <v>6</v>
      </c>
      <c r="K31" s="8"/>
      <c r="M31" s="31"/>
      <c r="N31" s="45"/>
    </row>
    <row r="32" spans="1:14" ht="15.75" customHeight="1">
      <c r="A32" s="6">
        <v>1290984</v>
      </c>
      <c r="B32" s="2" t="s">
        <v>35</v>
      </c>
      <c r="C32" s="7">
        <f t="shared" si="0"/>
        <v>2.25</v>
      </c>
      <c r="G32">
        <v>0.25</v>
      </c>
      <c r="I32">
        <v>2</v>
      </c>
      <c r="K32" s="8"/>
      <c r="M32" s="43"/>
      <c r="N32" s="45"/>
    </row>
    <row r="33" spans="1:14" ht="15.75" customHeight="1">
      <c r="A33" s="6">
        <v>120349</v>
      </c>
      <c r="B33" s="2" t="s">
        <v>36</v>
      </c>
      <c r="C33" s="7">
        <f t="shared" si="0"/>
        <v>5</v>
      </c>
      <c r="G33">
        <v>5</v>
      </c>
      <c r="K33" s="8"/>
      <c r="M33" s="30"/>
      <c r="N33" s="40"/>
    </row>
    <row r="34" spans="1:14" ht="15.75" customHeight="1">
      <c r="A34" s="6">
        <v>646566</v>
      </c>
      <c r="B34" s="77" t="s">
        <v>37</v>
      </c>
      <c r="C34" s="7">
        <f t="shared" si="0"/>
        <v>6</v>
      </c>
      <c r="G34">
        <v>6</v>
      </c>
      <c r="K34" s="8"/>
      <c r="M34" s="43"/>
      <c r="N34" s="45"/>
    </row>
    <row r="35" spans="1:14" ht="15.75" hidden="1" customHeight="1">
      <c r="A35" s="6">
        <v>646569</v>
      </c>
      <c r="B35" s="6" t="s">
        <v>38</v>
      </c>
      <c r="C35" s="7">
        <f t="shared" si="0"/>
        <v>0</v>
      </c>
      <c r="K35" s="8"/>
    </row>
    <row r="36" spans="1:14" ht="15.75" hidden="1" customHeight="1">
      <c r="A36" s="6">
        <v>214296</v>
      </c>
      <c r="B36" s="6" t="s">
        <v>39</v>
      </c>
      <c r="C36" s="7">
        <f t="shared" si="0"/>
        <v>0</v>
      </c>
      <c r="K36" s="8"/>
    </row>
    <row r="37" spans="1:14" ht="15.75" hidden="1" customHeight="1">
      <c r="A37" s="6">
        <v>737734</v>
      </c>
      <c r="B37" s="6" t="s">
        <v>40</v>
      </c>
      <c r="C37" s="7">
        <f t="shared" si="0"/>
        <v>0</v>
      </c>
      <c r="K37" s="8"/>
      <c r="M37">
        <v>3</v>
      </c>
    </row>
    <row r="38" spans="1:14" ht="15.75" hidden="1" customHeight="1">
      <c r="A38" s="6">
        <v>84</v>
      </c>
      <c r="B38" s="6" t="s">
        <v>41</v>
      </c>
      <c r="C38" s="7">
        <f t="shared" si="0"/>
        <v>0</v>
      </c>
      <c r="K38" s="19"/>
    </row>
    <row r="39" spans="1:14" ht="15.75" hidden="1" customHeight="1">
      <c r="A39" s="6">
        <v>334122</v>
      </c>
      <c r="B39" s="6" t="s">
        <v>42</v>
      </c>
      <c r="C39" s="7">
        <f t="shared" si="0"/>
        <v>0</v>
      </c>
      <c r="K39" s="8"/>
    </row>
    <row r="40" spans="1:14" ht="15.75" hidden="1" customHeight="1">
      <c r="A40" s="6">
        <v>1355956</v>
      </c>
      <c r="B40" s="6" t="s">
        <v>43</v>
      </c>
      <c r="C40" s="7">
        <f t="shared" si="0"/>
        <v>0</v>
      </c>
      <c r="D40" s="35"/>
      <c r="K40" s="19"/>
    </row>
    <row r="41" spans="1:14" ht="15.75" customHeight="1">
      <c r="A41" s="6">
        <v>63</v>
      </c>
      <c r="B41" s="77" t="s">
        <v>44</v>
      </c>
      <c r="C41" s="7">
        <f t="shared" si="0"/>
        <v>2</v>
      </c>
      <c r="I41">
        <v>2</v>
      </c>
      <c r="K41" s="16" t="s">
        <v>262</v>
      </c>
      <c r="M41" s="43"/>
      <c r="N41" s="40"/>
    </row>
    <row r="42" spans="1:14" ht="15.75" hidden="1" customHeight="1">
      <c r="A42" s="6">
        <v>334121</v>
      </c>
      <c r="B42" s="6" t="s">
        <v>45</v>
      </c>
      <c r="C42" s="7">
        <f t="shared" si="0"/>
        <v>0</v>
      </c>
      <c r="K42" s="8"/>
    </row>
    <row r="43" spans="1:14" ht="15.75" customHeight="1">
      <c r="A43" s="6">
        <v>647059</v>
      </c>
      <c r="B43" s="77" t="s">
        <v>46</v>
      </c>
      <c r="C43" s="7">
        <f t="shared" si="0"/>
        <v>3</v>
      </c>
      <c r="I43">
        <v>3</v>
      </c>
      <c r="K43" s="8"/>
      <c r="M43" s="43"/>
      <c r="N43" s="45"/>
    </row>
    <row r="44" spans="1:14" ht="15.75" hidden="1" customHeight="1">
      <c r="A44" s="6">
        <v>647372</v>
      </c>
      <c r="B44" s="6" t="s">
        <v>47</v>
      </c>
      <c r="C44" s="7">
        <f t="shared" si="0"/>
        <v>0</v>
      </c>
      <c r="K44" s="8"/>
    </row>
    <row r="45" spans="1:14" ht="15.75" hidden="1" customHeight="1">
      <c r="A45" s="6">
        <v>647372</v>
      </c>
      <c r="B45" s="6" t="s">
        <v>47</v>
      </c>
      <c r="C45" s="7">
        <f t="shared" si="0"/>
        <v>0</v>
      </c>
      <c r="K45" s="8"/>
    </row>
    <row r="46" spans="1:14" ht="15.75" customHeight="1">
      <c r="A46" s="6">
        <v>647058</v>
      </c>
      <c r="B46" s="2" t="s">
        <v>48</v>
      </c>
      <c r="C46" s="7">
        <f t="shared" si="0"/>
        <v>18</v>
      </c>
      <c r="I46">
        <v>18</v>
      </c>
      <c r="K46" s="8"/>
      <c r="M46" s="43"/>
      <c r="N46" s="45"/>
    </row>
    <row r="47" spans="1:14" ht="15.75" hidden="1" customHeight="1">
      <c r="A47" s="6">
        <v>1462600</v>
      </c>
      <c r="B47" s="2" t="s">
        <v>241</v>
      </c>
      <c r="C47" s="7">
        <f t="shared" si="0"/>
        <v>0</v>
      </c>
      <c r="K47" s="8"/>
      <c r="M47" s="43"/>
      <c r="N47" s="45"/>
    </row>
    <row r="48" spans="1:14" ht="15.75" hidden="1" customHeight="1">
      <c r="A48" s="6">
        <v>646798</v>
      </c>
      <c r="B48" s="6" t="s">
        <v>49</v>
      </c>
      <c r="C48" s="7">
        <f t="shared" si="0"/>
        <v>0</v>
      </c>
      <c r="K48" s="8"/>
    </row>
    <row r="49" spans="1:14" ht="15.75" hidden="1" customHeight="1">
      <c r="A49" s="6">
        <v>646829</v>
      </c>
      <c r="B49" s="6" t="s">
        <v>50</v>
      </c>
      <c r="C49" s="7">
        <f t="shared" si="0"/>
        <v>0</v>
      </c>
      <c r="K49" s="8"/>
    </row>
    <row r="50" spans="1:14" ht="15.75" hidden="1" customHeight="1">
      <c r="A50" s="6">
        <v>647060</v>
      </c>
      <c r="B50" s="2" t="s">
        <v>51</v>
      </c>
      <c r="C50" s="7">
        <f t="shared" si="0"/>
        <v>0</v>
      </c>
      <c r="K50" s="8"/>
    </row>
    <row r="51" spans="1:14" ht="15.75" hidden="1" customHeight="1">
      <c r="A51" s="6">
        <v>1341117</v>
      </c>
      <c r="B51" s="6" t="s">
        <v>52</v>
      </c>
      <c r="C51" s="7">
        <f t="shared" si="0"/>
        <v>0</v>
      </c>
      <c r="K51" s="8"/>
      <c r="M51" s="39"/>
      <c r="N51" s="37"/>
    </row>
    <row r="52" spans="1:14" ht="15.75" hidden="1" customHeight="1">
      <c r="A52" s="6">
        <v>647209</v>
      </c>
      <c r="B52" s="6" t="s">
        <v>53</v>
      </c>
      <c r="C52" s="7">
        <f t="shared" si="0"/>
        <v>0</v>
      </c>
      <c r="K52" s="8"/>
    </row>
    <row r="53" spans="1:14" ht="15.75" customHeight="1">
      <c r="A53" s="6">
        <v>646575</v>
      </c>
      <c r="B53" s="77" t="s">
        <v>54</v>
      </c>
      <c r="C53" s="7">
        <f t="shared" si="0"/>
        <v>47</v>
      </c>
      <c r="G53">
        <v>22</v>
      </c>
      <c r="I53">
        <v>25</v>
      </c>
      <c r="K53" s="8"/>
      <c r="M53" s="43"/>
      <c r="N53" s="45"/>
    </row>
    <row r="54" spans="1:14" ht="15.75" customHeight="1">
      <c r="A54" s="6">
        <v>646761</v>
      </c>
      <c r="B54" s="77" t="s">
        <v>55</v>
      </c>
      <c r="C54" s="7">
        <f>D54+E54+F54+H54+I54+G54+J54</f>
        <v>26</v>
      </c>
      <c r="G54">
        <v>20</v>
      </c>
      <c r="I54">
        <v>6</v>
      </c>
      <c r="K54" s="8"/>
      <c r="M54" s="43"/>
      <c r="N54" s="45"/>
    </row>
    <row r="55" spans="1:14" ht="15.75" customHeight="1">
      <c r="A55" s="6">
        <v>1455129</v>
      </c>
      <c r="B55" s="6" t="s">
        <v>56</v>
      </c>
      <c r="C55" s="7">
        <f t="shared" si="0"/>
        <v>3</v>
      </c>
      <c r="G55">
        <v>3</v>
      </c>
      <c r="K55" s="8"/>
    </row>
    <row r="56" spans="1:14" ht="15.75" customHeight="1">
      <c r="A56" s="6">
        <v>646578</v>
      </c>
      <c r="B56" s="77" t="s">
        <v>57</v>
      </c>
      <c r="C56" s="7">
        <f t="shared" si="0"/>
        <v>10</v>
      </c>
      <c r="G56">
        <v>10</v>
      </c>
      <c r="K56" s="8"/>
      <c r="M56" s="43"/>
      <c r="N56" s="45"/>
    </row>
    <row r="57" spans="1:14" ht="15.75" customHeight="1">
      <c r="A57" s="6">
        <v>647061</v>
      </c>
      <c r="B57" s="2" t="s">
        <v>58</v>
      </c>
      <c r="C57" s="7">
        <f t="shared" si="0"/>
        <v>18</v>
      </c>
      <c r="G57">
        <v>12</v>
      </c>
      <c r="I57">
        <v>6</v>
      </c>
      <c r="K57" s="8"/>
      <c r="M57" s="43"/>
      <c r="N57" s="45"/>
    </row>
    <row r="58" spans="1:14" ht="15.75" hidden="1" customHeight="1">
      <c r="A58" s="6">
        <v>1399463</v>
      </c>
      <c r="B58" s="54" t="s">
        <v>59</v>
      </c>
      <c r="C58" s="7">
        <f t="shared" si="0"/>
        <v>0</v>
      </c>
      <c r="K58" s="8"/>
    </row>
    <row r="59" spans="1:14" ht="15.75" hidden="1" customHeight="1">
      <c r="A59" s="6">
        <v>1403148</v>
      </c>
      <c r="B59" s="6" t="s">
        <v>60</v>
      </c>
      <c r="C59" s="7">
        <f t="shared" si="0"/>
        <v>0</v>
      </c>
      <c r="K59" s="8"/>
    </row>
    <row r="60" spans="1:14" ht="15.75" hidden="1" customHeight="1">
      <c r="A60" s="6">
        <v>1388190</v>
      </c>
      <c r="B60" s="6" t="s">
        <v>61</v>
      </c>
      <c r="C60" s="7">
        <f t="shared" si="0"/>
        <v>0</v>
      </c>
      <c r="K60" s="8"/>
    </row>
    <row r="61" spans="1:14" ht="15.75" hidden="1" customHeight="1">
      <c r="A61" s="6">
        <v>1419281</v>
      </c>
      <c r="B61" s="6" t="s">
        <v>62</v>
      </c>
      <c r="C61" s="7">
        <f t="shared" si="0"/>
        <v>0</v>
      </c>
      <c r="K61" s="8"/>
    </row>
    <row r="62" spans="1:14" ht="15.75" customHeight="1">
      <c r="A62" s="6">
        <v>203519</v>
      </c>
      <c r="B62" s="77" t="s">
        <v>63</v>
      </c>
      <c r="C62" s="7">
        <f t="shared" si="0"/>
        <v>8</v>
      </c>
      <c r="I62">
        <v>8</v>
      </c>
      <c r="K62" s="8"/>
      <c r="M62" s="39"/>
      <c r="N62" s="45"/>
    </row>
    <row r="63" spans="1:14" ht="15.75" hidden="1" customHeight="1">
      <c r="A63" s="6">
        <v>1402302</v>
      </c>
      <c r="B63" s="6" t="s">
        <v>64</v>
      </c>
      <c r="C63" s="7">
        <f t="shared" si="0"/>
        <v>0</v>
      </c>
      <c r="K63" s="8"/>
    </row>
    <row r="64" spans="1:14" ht="15.75" hidden="1" customHeight="1">
      <c r="A64" s="6">
        <v>1482528</v>
      </c>
      <c r="B64" s="70" t="s">
        <v>256</v>
      </c>
      <c r="C64" s="7">
        <f t="shared" si="0"/>
        <v>0</v>
      </c>
      <c r="K64" s="8"/>
    </row>
    <row r="65" spans="1:14" ht="15.75" hidden="1" customHeight="1">
      <c r="A65" s="70">
        <v>1461592</v>
      </c>
      <c r="B65" s="70" t="s">
        <v>257</v>
      </c>
      <c r="C65" s="7">
        <f t="shared" si="0"/>
        <v>0</v>
      </c>
      <c r="K65" s="8"/>
    </row>
    <row r="66" spans="1:14" ht="15.75" hidden="1" customHeight="1">
      <c r="A66" s="6">
        <v>974896</v>
      </c>
      <c r="B66" s="6" t="s">
        <v>65</v>
      </c>
      <c r="C66" s="7">
        <f t="shared" si="0"/>
        <v>0</v>
      </c>
      <c r="K66" s="8"/>
    </row>
    <row r="67" spans="1:14" ht="15.75" hidden="1" customHeight="1">
      <c r="A67" s="6">
        <v>1419287</v>
      </c>
      <c r="B67" s="2" t="s">
        <v>66</v>
      </c>
      <c r="C67" s="7">
        <f t="shared" si="0"/>
        <v>0</v>
      </c>
      <c r="K67" s="8"/>
    </row>
    <row r="68" spans="1:14" ht="15.75" hidden="1" customHeight="1">
      <c r="A68" s="6">
        <v>647073</v>
      </c>
      <c r="B68" s="6" t="s">
        <v>67</v>
      </c>
      <c r="C68" s="7">
        <f t="shared" si="0"/>
        <v>0</v>
      </c>
      <c r="K68" s="8"/>
    </row>
    <row r="69" spans="1:14" ht="15.75" hidden="1" customHeight="1">
      <c r="A69" s="6">
        <v>1419282</v>
      </c>
      <c r="B69" s="6" t="s">
        <v>68</v>
      </c>
      <c r="C69" s="7">
        <f t="shared" si="0"/>
        <v>0</v>
      </c>
      <c r="K69" s="8"/>
    </row>
    <row r="70" spans="1:14" ht="15.75" customHeight="1">
      <c r="A70" s="6">
        <v>646594</v>
      </c>
      <c r="B70" s="2" t="s">
        <v>69</v>
      </c>
      <c r="C70" s="7">
        <f t="shared" si="0"/>
        <v>22</v>
      </c>
      <c r="G70">
        <v>20</v>
      </c>
      <c r="I70">
        <v>2</v>
      </c>
      <c r="K70" s="8"/>
      <c r="M70" s="43"/>
      <c r="N70" s="45"/>
    </row>
    <row r="71" spans="1:14" ht="15.75" hidden="1" customHeight="1">
      <c r="A71" s="6">
        <v>648153</v>
      </c>
      <c r="B71" s="6" t="s">
        <v>70</v>
      </c>
      <c r="C71" s="7">
        <f t="shared" si="0"/>
        <v>0</v>
      </c>
      <c r="K71" s="8"/>
    </row>
    <row r="72" spans="1:14" ht="15.75" hidden="1" customHeight="1">
      <c r="A72" s="6">
        <v>525</v>
      </c>
      <c r="B72" s="6" t="s">
        <v>71</v>
      </c>
      <c r="C72" s="7">
        <f t="shared" ref="C72:C86" si="1">D72+E72+F72+H72+I72+G72+J72</f>
        <v>0</v>
      </c>
      <c r="K72" s="8"/>
    </row>
    <row r="73" spans="1:14" ht="15.75" hidden="1" customHeight="1">
      <c r="A73" s="6">
        <v>646755</v>
      </c>
      <c r="B73" s="6" t="s">
        <v>72</v>
      </c>
      <c r="C73" s="7">
        <f t="shared" si="1"/>
        <v>0</v>
      </c>
      <c r="K73" s="8"/>
    </row>
    <row r="74" spans="1:14" ht="15.75" hidden="1" customHeight="1">
      <c r="A74" s="6">
        <v>647072</v>
      </c>
      <c r="B74" s="6" t="s">
        <v>73</v>
      </c>
      <c r="C74" s="7">
        <f t="shared" si="1"/>
        <v>0</v>
      </c>
      <c r="K74" s="8"/>
    </row>
    <row r="75" spans="1:14" ht="15.75" hidden="1" customHeight="1">
      <c r="A75" s="6">
        <v>1415937</v>
      </c>
      <c r="B75" s="2" t="s">
        <v>74</v>
      </c>
      <c r="C75" s="7">
        <f t="shared" si="1"/>
        <v>0</v>
      </c>
      <c r="K75" s="8"/>
    </row>
    <row r="76" spans="1:14" ht="15.75" customHeight="1">
      <c r="A76" s="6">
        <v>646597</v>
      </c>
      <c r="B76" s="77" t="s">
        <v>75</v>
      </c>
      <c r="C76" s="7">
        <f t="shared" si="1"/>
        <v>10</v>
      </c>
      <c r="I76">
        <v>10</v>
      </c>
      <c r="K76" s="8"/>
      <c r="M76" s="39"/>
      <c r="N76" s="45"/>
    </row>
    <row r="77" spans="1:14" ht="15.75" hidden="1" customHeight="1">
      <c r="A77" s="6">
        <v>1473371</v>
      </c>
      <c r="B77" s="6" t="s">
        <v>76</v>
      </c>
      <c r="C77" s="7">
        <f t="shared" si="1"/>
        <v>0</v>
      </c>
      <c r="K77" s="36"/>
    </row>
    <row r="78" spans="1:14" ht="15.75" hidden="1" customHeight="1">
      <c r="A78" s="6">
        <v>242849</v>
      </c>
      <c r="B78" s="2" t="s">
        <v>77</v>
      </c>
      <c r="C78" s="7">
        <f t="shared" si="1"/>
        <v>0</v>
      </c>
      <c r="K78" s="8"/>
    </row>
    <row r="79" spans="1:14" ht="15.75" hidden="1" customHeight="1">
      <c r="A79" s="6">
        <v>735</v>
      </c>
      <c r="B79" s="6" t="s">
        <v>78</v>
      </c>
      <c r="C79" s="7">
        <f t="shared" si="1"/>
        <v>0</v>
      </c>
      <c r="K79" s="8"/>
    </row>
    <row r="80" spans="1:14" ht="15.75" hidden="1" customHeight="1">
      <c r="A80" s="6">
        <v>763</v>
      </c>
      <c r="B80" s="6" t="s">
        <v>79</v>
      </c>
      <c r="C80" s="7">
        <f t="shared" si="1"/>
        <v>0</v>
      </c>
      <c r="K80" s="8"/>
    </row>
    <row r="81" spans="1:14" ht="15.75" customHeight="1">
      <c r="A81" s="6">
        <v>860</v>
      </c>
      <c r="B81" s="2" t="s">
        <v>80</v>
      </c>
      <c r="C81" s="7">
        <f t="shared" si="1"/>
        <v>5</v>
      </c>
      <c r="D81" s="27"/>
      <c r="G81">
        <v>5</v>
      </c>
      <c r="K81" s="8"/>
      <c r="N81" s="45"/>
    </row>
    <row r="82" spans="1:14" ht="15.75" hidden="1" customHeight="1">
      <c r="A82" s="6">
        <v>649017</v>
      </c>
      <c r="B82" s="6" t="s">
        <v>81</v>
      </c>
      <c r="C82" s="7">
        <f t="shared" si="1"/>
        <v>0</v>
      </c>
      <c r="K82" s="8"/>
    </row>
    <row r="83" spans="1:14" ht="15.75" hidden="1" customHeight="1">
      <c r="A83" s="6">
        <v>1419285</v>
      </c>
      <c r="B83" s="77" t="s">
        <v>82</v>
      </c>
      <c r="C83" s="7">
        <f t="shared" si="1"/>
        <v>0</v>
      </c>
      <c r="K83" s="8"/>
    </row>
    <row r="84" spans="1:14" ht="15.75" customHeight="1">
      <c r="A84" s="6">
        <v>647074</v>
      </c>
      <c r="B84" s="2" t="s">
        <v>83</v>
      </c>
      <c r="C84" s="7">
        <f t="shared" si="1"/>
        <v>0.5</v>
      </c>
      <c r="I84">
        <v>0.5</v>
      </c>
      <c r="K84" s="56" t="s">
        <v>245</v>
      </c>
      <c r="N84" s="45"/>
    </row>
    <row r="85" spans="1:14" ht="15.75" hidden="1" customHeight="1">
      <c r="A85" s="6">
        <v>1402444</v>
      </c>
      <c r="B85" s="2" t="s">
        <v>84</v>
      </c>
      <c r="C85" s="7">
        <f t="shared" si="1"/>
        <v>0</v>
      </c>
      <c r="K85" s="8"/>
      <c r="M85" s="39"/>
    </row>
    <row r="86" spans="1:14" ht="15.75" customHeight="1">
      <c r="A86" s="6">
        <v>646599</v>
      </c>
      <c r="B86" s="2" t="s">
        <v>85</v>
      </c>
      <c r="C86" s="7">
        <f t="shared" si="1"/>
        <v>5</v>
      </c>
      <c r="G86">
        <v>1</v>
      </c>
      <c r="I86">
        <v>4</v>
      </c>
      <c r="K86" s="8"/>
      <c r="M86" s="43"/>
      <c r="N86" s="45"/>
    </row>
    <row r="87" spans="1:14" ht="15.75" hidden="1" customHeight="1">
      <c r="A87" s="6">
        <v>943779</v>
      </c>
      <c r="B87" s="6" t="s">
        <v>86</v>
      </c>
      <c r="C87" s="7">
        <f t="shared" ref="C87:C151" si="2">D87+E87+F87+H87+I87+G87+J87</f>
        <v>0</v>
      </c>
      <c r="K87" s="8"/>
    </row>
    <row r="88" spans="1:14" ht="15.75" hidden="1" customHeight="1">
      <c r="A88" s="6">
        <v>874</v>
      </c>
      <c r="B88" s="6" t="s">
        <v>87</v>
      </c>
      <c r="C88" s="7">
        <f t="shared" si="2"/>
        <v>0</v>
      </c>
      <c r="K88" s="8"/>
    </row>
    <row r="89" spans="1:14" ht="15.75" hidden="1" customHeight="1">
      <c r="A89" s="6">
        <v>1032393</v>
      </c>
      <c r="B89" s="6" t="s">
        <v>88</v>
      </c>
      <c r="C89" s="7">
        <f t="shared" si="2"/>
        <v>0</v>
      </c>
      <c r="K89" s="8"/>
      <c r="M89" s="43"/>
      <c r="N89" s="40"/>
    </row>
    <row r="90" spans="1:14" ht="15.75" hidden="1" customHeight="1">
      <c r="A90" s="6">
        <v>1473298</v>
      </c>
      <c r="B90" s="6" t="s">
        <v>234</v>
      </c>
      <c r="C90" s="7">
        <f t="shared" si="2"/>
        <v>0</v>
      </c>
      <c r="K90" s="8"/>
      <c r="N90" s="40"/>
    </row>
    <row r="91" spans="1:14" ht="15.75" hidden="1" customHeight="1">
      <c r="A91" s="6">
        <v>1404553</v>
      </c>
      <c r="B91" s="2" t="s">
        <v>89</v>
      </c>
      <c r="C91" s="7">
        <f t="shared" si="2"/>
        <v>0</v>
      </c>
      <c r="K91" s="8"/>
    </row>
    <row r="92" spans="1:14" ht="15.75" hidden="1" customHeight="1">
      <c r="A92" s="6">
        <v>1402446</v>
      </c>
      <c r="B92" s="6" t="s">
        <v>90</v>
      </c>
      <c r="C92" s="7">
        <f t="shared" si="2"/>
        <v>0</v>
      </c>
      <c r="K92" s="8"/>
    </row>
    <row r="93" spans="1:14" ht="15.75" hidden="1" customHeight="1">
      <c r="A93" s="6">
        <v>1388191</v>
      </c>
      <c r="B93" s="6" t="s">
        <v>91</v>
      </c>
      <c r="C93" s="7">
        <f t="shared" si="2"/>
        <v>0</v>
      </c>
      <c r="D93" s="27"/>
      <c r="K93" s="8"/>
    </row>
    <row r="94" spans="1:14" ht="15.75" hidden="1" customHeight="1">
      <c r="A94" s="6">
        <v>1166736</v>
      </c>
      <c r="B94" s="6" t="s">
        <v>92</v>
      </c>
      <c r="C94" s="7">
        <f t="shared" si="2"/>
        <v>0</v>
      </c>
      <c r="K94" s="8"/>
    </row>
    <row r="95" spans="1:14" ht="15.75" hidden="1" customHeight="1">
      <c r="A95" s="6">
        <v>649021</v>
      </c>
      <c r="B95" s="6" t="s">
        <v>93</v>
      </c>
      <c r="C95" s="7">
        <f t="shared" si="2"/>
        <v>0</v>
      </c>
      <c r="K95" s="8"/>
    </row>
    <row r="96" spans="1:14" ht="15.75" customHeight="1">
      <c r="A96" s="6">
        <v>77877</v>
      </c>
      <c r="B96" s="2" t="s">
        <v>94</v>
      </c>
      <c r="C96" s="7">
        <f t="shared" si="2"/>
        <v>11</v>
      </c>
      <c r="F96">
        <v>1</v>
      </c>
      <c r="G96">
        <v>5</v>
      </c>
      <c r="I96">
        <v>5</v>
      </c>
      <c r="K96" s="8"/>
      <c r="M96" s="43"/>
      <c r="N96" s="45"/>
    </row>
    <row r="97" spans="1:14" ht="15.75" customHeight="1">
      <c r="A97" s="6">
        <v>217071</v>
      </c>
      <c r="B97" s="2" t="s">
        <v>95</v>
      </c>
      <c r="C97" s="7">
        <f t="shared" si="2"/>
        <v>1</v>
      </c>
      <c r="H97">
        <v>1</v>
      </c>
      <c r="K97" s="8"/>
      <c r="M97" s="43"/>
    </row>
    <row r="98" spans="1:14" ht="15.75" hidden="1" customHeight="1">
      <c r="A98" s="6">
        <v>255751</v>
      </c>
      <c r="B98" s="6" t="s">
        <v>96</v>
      </c>
      <c r="C98" s="7">
        <f t="shared" si="2"/>
        <v>0</v>
      </c>
      <c r="K98" s="8"/>
    </row>
    <row r="99" spans="1:14" ht="15.75" hidden="1" customHeight="1">
      <c r="A99" s="6">
        <v>334127</v>
      </c>
      <c r="B99" s="6" t="s">
        <v>97</v>
      </c>
      <c r="C99" s="7">
        <f t="shared" si="2"/>
        <v>0</v>
      </c>
      <c r="K99" s="8"/>
    </row>
    <row r="100" spans="1:14" ht="15.75" hidden="1" customHeight="1">
      <c r="A100" s="6">
        <v>255759</v>
      </c>
      <c r="B100" s="2" t="s">
        <v>250</v>
      </c>
      <c r="C100" s="7">
        <f t="shared" si="2"/>
        <v>0</v>
      </c>
      <c r="K100" s="8"/>
      <c r="M100" s="39"/>
      <c r="N100" s="40"/>
    </row>
    <row r="101" spans="1:14" ht="15.75" hidden="1" customHeight="1">
      <c r="A101" s="62">
        <v>1466454</v>
      </c>
      <c r="B101" s="62" t="s">
        <v>249</v>
      </c>
      <c r="C101" s="7">
        <f t="shared" si="2"/>
        <v>0</v>
      </c>
      <c r="D101" s="27"/>
      <c r="K101" s="8"/>
      <c r="N101" s="29"/>
    </row>
    <row r="102" spans="1:14" ht="15.75" hidden="1" customHeight="1">
      <c r="A102" s="62">
        <v>1476950</v>
      </c>
      <c r="B102" s="62" t="s">
        <v>261</v>
      </c>
      <c r="C102" s="7">
        <f t="shared" si="2"/>
        <v>0</v>
      </c>
      <c r="D102" s="27"/>
      <c r="K102" s="8"/>
      <c r="N102" s="29"/>
    </row>
    <row r="103" spans="1:14" ht="15.75" hidden="1" customHeight="1">
      <c r="A103" s="6">
        <v>1413198</v>
      </c>
      <c r="B103" s="6" t="s">
        <v>98</v>
      </c>
      <c r="C103" s="7">
        <f t="shared" si="2"/>
        <v>0</v>
      </c>
      <c r="K103" s="8"/>
    </row>
    <row r="104" spans="1:14" ht="15.75" hidden="1" customHeight="1">
      <c r="A104" s="6">
        <v>939</v>
      </c>
      <c r="B104" s="2" t="s">
        <v>99</v>
      </c>
      <c r="C104" s="7">
        <f t="shared" si="2"/>
        <v>0</v>
      </c>
      <c r="K104" s="8"/>
    </row>
    <row r="105" spans="1:14" ht="15.75" hidden="1" customHeight="1">
      <c r="A105" s="6">
        <v>788037</v>
      </c>
      <c r="B105" s="6" t="s">
        <v>100</v>
      </c>
      <c r="C105" s="7">
        <f t="shared" si="2"/>
        <v>0</v>
      </c>
      <c r="K105" s="8"/>
    </row>
    <row r="106" spans="1:14" ht="15.75" hidden="1" customHeight="1">
      <c r="A106" s="6">
        <v>944</v>
      </c>
      <c r="B106" s="2" t="s">
        <v>101</v>
      </c>
      <c r="C106" s="7">
        <f t="shared" si="2"/>
        <v>0</v>
      </c>
      <c r="K106" s="8" t="s">
        <v>244</v>
      </c>
      <c r="N106" s="24"/>
    </row>
    <row r="107" spans="1:14" ht="15.75" hidden="1" customHeight="1">
      <c r="A107" s="6">
        <v>1399464</v>
      </c>
      <c r="B107" s="2" t="s">
        <v>102</v>
      </c>
      <c r="C107" s="7">
        <f t="shared" si="2"/>
        <v>0</v>
      </c>
      <c r="K107" s="8"/>
      <c r="M107" s="31"/>
      <c r="N107" s="37"/>
    </row>
    <row r="108" spans="1:14" ht="15.75" hidden="1" customHeight="1">
      <c r="A108" s="6">
        <v>647075</v>
      </c>
      <c r="B108" s="6" t="s">
        <v>103</v>
      </c>
      <c r="C108" s="7">
        <f t="shared" si="2"/>
        <v>0</v>
      </c>
      <c r="K108" s="8"/>
    </row>
    <row r="109" spans="1:14" ht="15.75" customHeight="1">
      <c r="A109" s="6">
        <v>647207</v>
      </c>
      <c r="B109" s="2" t="s">
        <v>104</v>
      </c>
      <c r="C109" s="7">
        <f t="shared" si="2"/>
        <v>5</v>
      </c>
      <c r="G109">
        <v>5</v>
      </c>
      <c r="K109" s="8"/>
      <c r="N109" s="37"/>
    </row>
    <row r="110" spans="1:14" ht="15.75" hidden="1" customHeight="1">
      <c r="A110" s="6">
        <v>647206</v>
      </c>
      <c r="B110" s="6" t="s">
        <v>105</v>
      </c>
      <c r="C110" s="7">
        <f t="shared" si="2"/>
        <v>0</v>
      </c>
      <c r="K110" s="8"/>
    </row>
    <row r="111" spans="1:14" ht="15.75" hidden="1" customHeight="1">
      <c r="A111" s="6">
        <v>1419284</v>
      </c>
      <c r="B111" s="6" t="s">
        <v>106</v>
      </c>
      <c r="C111" s="7">
        <f t="shared" si="2"/>
        <v>0</v>
      </c>
      <c r="K111" s="8"/>
    </row>
    <row r="112" spans="1:14" ht="15.75" customHeight="1">
      <c r="A112" s="6">
        <v>647205</v>
      </c>
      <c r="B112" s="2" t="s">
        <v>107</v>
      </c>
      <c r="C112" s="7">
        <f t="shared" si="2"/>
        <v>1</v>
      </c>
      <c r="H112">
        <v>1</v>
      </c>
      <c r="K112" s="8"/>
      <c r="M112" s="31"/>
    </row>
    <row r="113" spans="1:17" ht="15.75" hidden="1" customHeight="1">
      <c r="A113" s="6">
        <v>647076</v>
      </c>
      <c r="B113" s="6" t="s">
        <v>108</v>
      </c>
      <c r="C113" s="7">
        <f t="shared" si="2"/>
        <v>0</v>
      </c>
      <c r="K113" s="17"/>
    </row>
    <row r="114" spans="1:17" s="78" customFormat="1" ht="15.75" hidden="1" customHeight="1">
      <c r="A114" s="79">
        <v>646600</v>
      </c>
      <c r="B114" s="80" t="s">
        <v>109</v>
      </c>
      <c r="C114" s="81">
        <f t="shared" si="2"/>
        <v>0</v>
      </c>
      <c r="D114"/>
      <c r="E114"/>
      <c r="F114"/>
      <c r="G114"/>
      <c r="H114"/>
      <c r="I114" s="82"/>
      <c r="J114" s="82"/>
      <c r="K114" s="82"/>
      <c r="L114" s="82"/>
      <c r="M114" s="84"/>
      <c r="N114" s="83"/>
      <c r="O114" s="82"/>
      <c r="P114" s="82"/>
      <c r="Q114" s="82"/>
    </row>
    <row r="115" spans="1:17" ht="15.75" hidden="1" customHeight="1">
      <c r="A115" s="6">
        <v>647168</v>
      </c>
      <c r="B115" s="2" t="s">
        <v>110</v>
      </c>
      <c r="C115" s="7">
        <f t="shared" si="2"/>
        <v>0</v>
      </c>
      <c r="I115" s="9"/>
      <c r="K115" s="66"/>
    </row>
    <row r="116" spans="1:17" ht="15.75" hidden="1" customHeight="1">
      <c r="A116" s="6">
        <v>1022</v>
      </c>
      <c r="B116" s="2" t="s">
        <v>111</v>
      </c>
      <c r="C116" s="7">
        <f t="shared" si="2"/>
        <v>0</v>
      </c>
      <c r="K116" s="32"/>
      <c r="M116" s="22"/>
      <c r="N116" s="45"/>
    </row>
    <row r="117" spans="1:17" ht="15.75" customHeight="1">
      <c r="A117" s="6">
        <v>1399473</v>
      </c>
      <c r="B117" s="77" t="s">
        <v>251</v>
      </c>
      <c r="C117" s="7">
        <f t="shared" si="2"/>
        <v>1</v>
      </c>
      <c r="I117">
        <v>1</v>
      </c>
      <c r="K117" s="8"/>
      <c r="M117" s="39"/>
      <c r="N117" s="29"/>
    </row>
    <row r="118" spans="1:17" ht="15.75" hidden="1" customHeight="1">
      <c r="A118" s="6">
        <v>689676</v>
      </c>
      <c r="B118" s="6" t="s">
        <v>112</v>
      </c>
      <c r="C118" s="7">
        <f t="shared" si="2"/>
        <v>0</v>
      </c>
      <c r="K118" s="8"/>
    </row>
    <row r="119" spans="1:17" ht="15.75" hidden="1" customHeight="1">
      <c r="A119" s="6">
        <v>182265</v>
      </c>
      <c r="B119" s="6" t="s">
        <v>113</v>
      </c>
      <c r="C119" s="7">
        <f t="shared" si="2"/>
        <v>0</v>
      </c>
      <c r="K119" s="8"/>
    </row>
    <row r="120" spans="1:17" ht="15.75" customHeight="1">
      <c r="A120" s="6">
        <v>1419288</v>
      </c>
      <c r="B120" s="6" t="s">
        <v>114</v>
      </c>
      <c r="C120" s="7">
        <f t="shared" si="2"/>
        <v>7</v>
      </c>
      <c r="G120">
        <v>7</v>
      </c>
      <c r="K120" s="8"/>
    </row>
    <row r="121" spans="1:17" ht="15.75" customHeight="1">
      <c r="A121" s="6">
        <v>1413738</v>
      </c>
      <c r="B121" s="2" t="s">
        <v>115</v>
      </c>
      <c r="C121" s="7">
        <f t="shared" si="2"/>
        <v>1</v>
      </c>
      <c r="I121">
        <v>1</v>
      </c>
      <c r="K121" s="8"/>
      <c r="M121" s="31"/>
      <c r="N121" s="24"/>
    </row>
    <row r="122" spans="1:17" ht="15.75" customHeight="1">
      <c r="A122" s="6">
        <v>1026</v>
      </c>
      <c r="B122" s="77" t="s">
        <v>116</v>
      </c>
      <c r="C122" s="7">
        <f t="shared" si="2"/>
        <v>6</v>
      </c>
      <c r="I122">
        <v>6</v>
      </c>
      <c r="K122" s="8"/>
      <c r="M122" s="31"/>
      <c r="N122" s="42"/>
    </row>
    <row r="123" spans="1:17" ht="15.75" hidden="1" customHeight="1">
      <c r="A123" s="6">
        <v>1399465</v>
      </c>
      <c r="B123" s="6" t="s">
        <v>117</v>
      </c>
      <c r="C123" s="7">
        <f t="shared" si="2"/>
        <v>0</v>
      </c>
      <c r="K123" s="8"/>
    </row>
    <row r="124" spans="1:17" ht="15.75" customHeight="1">
      <c r="A124" s="6">
        <v>646601</v>
      </c>
      <c r="B124" s="2" t="s">
        <v>118</v>
      </c>
      <c r="C124" s="7">
        <f t="shared" si="2"/>
        <v>8</v>
      </c>
      <c r="H124">
        <v>8</v>
      </c>
      <c r="K124" s="8"/>
      <c r="M124" s="31"/>
      <c r="N124" s="24"/>
    </row>
    <row r="125" spans="1:17" ht="15.75" hidden="1" customHeight="1">
      <c r="A125" s="6">
        <v>647078</v>
      </c>
      <c r="B125" s="2" t="s">
        <v>119</v>
      </c>
      <c r="C125" s="7">
        <f t="shared" si="2"/>
        <v>0</v>
      </c>
      <c r="K125" s="8"/>
    </row>
    <row r="126" spans="1:17" ht="15.75" hidden="1" customHeight="1">
      <c r="A126" s="6">
        <v>647077</v>
      </c>
      <c r="B126" s="6" t="s">
        <v>120</v>
      </c>
      <c r="C126" s="7">
        <f t="shared" si="2"/>
        <v>0</v>
      </c>
      <c r="K126" s="8"/>
    </row>
    <row r="127" spans="1:17" ht="15.75" hidden="1" customHeight="1">
      <c r="A127" s="6">
        <v>646622</v>
      </c>
      <c r="B127" s="6" t="s">
        <v>121</v>
      </c>
      <c r="C127" s="7">
        <f t="shared" si="2"/>
        <v>0</v>
      </c>
      <c r="K127" s="8"/>
    </row>
    <row r="128" spans="1:17" ht="15.75" hidden="1" customHeight="1">
      <c r="A128" s="6">
        <v>646623</v>
      </c>
      <c r="B128" s="2" t="s">
        <v>122</v>
      </c>
      <c r="C128" s="7">
        <f t="shared" si="2"/>
        <v>0</v>
      </c>
      <c r="K128" s="8"/>
      <c r="M128" s="23"/>
    </row>
    <row r="129" spans="1:14" ht="15.75" hidden="1" customHeight="1">
      <c r="A129" s="6">
        <v>647196</v>
      </c>
      <c r="B129" s="6" t="s">
        <v>123</v>
      </c>
      <c r="C129" s="7">
        <f t="shared" si="2"/>
        <v>0</v>
      </c>
      <c r="K129" s="8"/>
    </row>
    <row r="130" spans="1:14" ht="15.75" customHeight="1">
      <c r="A130" s="6">
        <v>263940</v>
      </c>
      <c r="B130" s="2" t="s">
        <v>124</v>
      </c>
      <c r="C130" s="7">
        <f t="shared" si="2"/>
        <v>2</v>
      </c>
      <c r="I130">
        <v>2</v>
      </c>
      <c r="K130" s="8"/>
      <c r="M130" s="23"/>
      <c r="N130" s="42"/>
    </row>
    <row r="131" spans="1:14" ht="15.75" hidden="1" customHeight="1" thickBot="1">
      <c r="A131" s="58">
        <v>1462578</v>
      </c>
      <c r="B131" s="2" t="s">
        <v>247</v>
      </c>
      <c r="C131" s="7">
        <f t="shared" si="2"/>
        <v>0</v>
      </c>
      <c r="K131" s="8"/>
      <c r="M131" s="23"/>
      <c r="N131" s="42"/>
    </row>
    <row r="132" spans="1:14" ht="15.75" hidden="1" customHeight="1" thickBot="1">
      <c r="A132" s="59">
        <v>1462579</v>
      </c>
      <c r="B132" s="2" t="s">
        <v>248</v>
      </c>
      <c r="C132" s="7">
        <f t="shared" si="2"/>
        <v>0</v>
      </c>
      <c r="K132" s="8"/>
      <c r="M132" s="23"/>
      <c r="N132" s="42"/>
    </row>
    <row r="133" spans="1:14" ht="15.75" hidden="1" customHeight="1">
      <c r="A133" s="6">
        <v>655573</v>
      </c>
      <c r="B133" s="6" t="s">
        <v>125</v>
      </c>
      <c r="C133" s="7">
        <f t="shared" si="2"/>
        <v>0</v>
      </c>
      <c r="K133" s="8"/>
    </row>
    <row r="134" spans="1:14" ht="15.75" hidden="1" customHeight="1">
      <c r="A134" s="6">
        <v>1080</v>
      </c>
      <c r="B134" s="6" t="s">
        <v>126</v>
      </c>
      <c r="C134" s="7">
        <f t="shared" si="2"/>
        <v>0</v>
      </c>
      <c r="K134" s="8"/>
    </row>
    <row r="135" spans="1:14" ht="15.75" customHeight="1">
      <c r="A135" s="6">
        <v>1272</v>
      </c>
      <c r="B135" s="77" t="s">
        <v>127</v>
      </c>
      <c r="C135" s="7">
        <f t="shared" si="2"/>
        <v>53</v>
      </c>
      <c r="G135">
        <v>50</v>
      </c>
      <c r="I135">
        <v>3</v>
      </c>
      <c r="K135" s="49"/>
      <c r="N135" s="42"/>
    </row>
    <row r="136" spans="1:14" ht="15.75" hidden="1" customHeight="1">
      <c r="A136" s="6">
        <v>1472716</v>
      </c>
      <c r="B136" s="2" t="s">
        <v>243</v>
      </c>
      <c r="C136" s="7">
        <f t="shared" si="2"/>
        <v>0</v>
      </c>
      <c r="K136" s="49"/>
      <c r="N136" s="42"/>
    </row>
    <row r="137" spans="1:14" ht="15.75" hidden="1" customHeight="1">
      <c r="A137" s="6">
        <v>1399466</v>
      </c>
      <c r="B137" s="6" t="s">
        <v>128</v>
      </c>
      <c r="C137" s="7">
        <f t="shared" si="2"/>
        <v>0</v>
      </c>
      <c r="K137" s="8"/>
    </row>
    <row r="138" spans="1:14" ht="15.75" hidden="1" customHeight="1">
      <c r="A138" s="6">
        <v>1402452</v>
      </c>
      <c r="B138" s="6" t="s">
        <v>129</v>
      </c>
      <c r="C138" s="7">
        <f t="shared" si="2"/>
        <v>0</v>
      </c>
      <c r="K138" s="8"/>
    </row>
    <row r="139" spans="1:14" ht="15.75" hidden="1" customHeight="1">
      <c r="A139" s="6">
        <v>732998</v>
      </c>
      <c r="B139" s="6" t="s">
        <v>130</v>
      </c>
      <c r="C139" s="7">
        <f t="shared" si="2"/>
        <v>0</v>
      </c>
      <c r="K139" s="8"/>
      <c r="M139" s="22"/>
      <c r="N139" s="42"/>
    </row>
    <row r="140" spans="1:14" ht="15.75" hidden="1" customHeight="1">
      <c r="A140" s="6">
        <v>689675</v>
      </c>
      <c r="B140" s="6" t="s">
        <v>131</v>
      </c>
      <c r="C140" s="7">
        <f t="shared" si="2"/>
        <v>0</v>
      </c>
      <c r="K140" s="8"/>
    </row>
    <row r="141" spans="1:14" ht="15.75" hidden="1" customHeight="1">
      <c r="A141" s="6">
        <v>1390</v>
      </c>
      <c r="B141" s="6" t="s">
        <v>132</v>
      </c>
      <c r="C141" s="7">
        <f t="shared" si="2"/>
        <v>0</v>
      </c>
      <c r="K141" s="8"/>
    </row>
    <row r="142" spans="1:14" ht="15.75" hidden="1" customHeight="1">
      <c r="A142" s="6">
        <v>334125</v>
      </c>
      <c r="B142" s="6" t="s">
        <v>133</v>
      </c>
      <c r="C142" s="7">
        <f t="shared" si="2"/>
        <v>0</v>
      </c>
      <c r="K142" s="8"/>
    </row>
    <row r="143" spans="1:14" ht="15.75" customHeight="1">
      <c r="A143" s="6">
        <v>648154</v>
      </c>
      <c r="B143" s="2" t="s">
        <v>134</v>
      </c>
      <c r="C143" s="7">
        <f t="shared" si="2"/>
        <v>40</v>
      </c>
      <c r="H143">
        <v>40</v>
      </c>
      <c r="K143" s="50"/>
      <c r="M143" s="22"/>
      <c r="N143" s="42"/>
    </row>
    <row r="144" spans="1:14" ht="15.75" hidden="1" customHeight="1">
      <c r="A144" s="6">
        <v>648155</v>
      </c>
      <c r="B144" s="6" t="s">
        <v>135</v>
      </c>
      <c r="C144" s="7">
        <f t="shared" si="2"/>
        <v>0</v>
      </c>
      <c r="K144" s="8"/>
    </row>
    <row r="145" spans="1:14" ht="15.75" customHeight="1">
      <c r="A145" s="6">
        <v>648156</v>
      </c>
      <c r="B145" s="77" t="s">
        <v>136</v>
      </c>
      <c r="C145" s="7">
        <f t="shared" si="2"/>
        <v>10</v>
      </c>
      <c r="I145">
        <v>10</v>
      </c>
      <c r="K145" s="16" t="s">
        <v>255</v>
      </c>
      <c r="M145" s="22"/>
      <c r="N145" s="42"/>
    </row>
    <row r="146" spans="1:14" ht="15.75" hidden="1" customHeight="1">
      <c r="A146" s="6">
        <v>1402301</v>
      </c>
      <c r="B146" s="6" t="s">
        <v>137</v>
      </c>
      <c r="C146" s="7">
        <f t="shared" si="2"/>
        <v>0</v>
      </c>
      <c r="K146" s="8"/>
    </row>
    <row r="147" spans="1:14" ht="15.75" hidden="1" customHeight="1">
      <c r="A147" s="6">
        <v>334126</v>
      </c>
      <c r="B147" s="6" t="s">
        <v>138</v>
      </c>
      <c r="C147" s="7">
        <f t="shared" si="2"/>
        <v>0</v>
      </c>
      <c r="K147" s="8"/>
    </row>
    <row r="148" spans="1:14" ht="15.75" hidden="1" customHeight="1">
      <c r="A148" s="6">
        <v>1032046</v>
      </c>
      <c r="B148" s="6" t="s">
        <v>139</v>
      </c>
      <c r="C148" s="7">
        <f t="shared" si="2"/>
        <v>0</v>
      </c>
      <c r="K148" s="8"/>
    </row>
    <row r="149" spans="1:14" ht="15.75" hidden="1" customHeight="1">
      <c r="A149" s="6">
        <v>648157</v>
      </c>
      <c r="B149" s="6" t="s">
        <v>140</v>
      </c>
      <c r="C149" s="7">
        <f t="shared" si="2"/>
        <v>0</v>
      </c>
      <c r="K149" s="8"/>
    </row>
    <row r="150" spans="1:14" ht="15.75" hidden="1" customHeight="1">
      <c r="A150" s="6">
        <v>648158</v>
      </c>
      <c r="B150" s="6" t="s">
        <v>141</v>
      </c>
      <c r="C150" s="7">
        <f t="shared" si="2"/>
        <v>0</v>
      </c>
      <c r="K150" s="8"/>
    </row>
    <row r="151" spans="1:14" ht="15.75" hidden="1" customHeight="1">
      <c r="A151" s="6">
        <v>1759</v>
      </c>
      <c r="B151" s="6" t="s">
        <v>142</v>
      </c>
      <c r="C151" s="7">
        <f t="shared" si="2"/>
        <v>0</v>
      </c>
      <c r="D151" s="35"/>
      <c r="K151" s="8"/>
    </row>
    <row r="152" spans="1:14" ht="15.75" hidden="1" customHeight="1">
      <c r="A152" s="6">
        <v>646756</v>
      </c>
      <c r="B152" s="2" t="s">
        <v>143</v>
      </c>
      <c r="C152" s="7">
        <f t="shared" ref="C152:C216" si="3">D152+E152+F152+H152+I152+G152+J152</f>
        <v>0</v>
      </c>
      <c r="K152" s="16" t="s">
        <v>237</v>
      </c>
    </row>
    <row r="153" spans="1:14" ht="15.75" hidden="1" customHeight="1">
      <c r="A153" s="6">
        <v>648159</v>
      </c>
      <c r="B153" s="6" t="s">
        <v>144</v>
      </c>
      <c r="C153" s="7">
        <f t="shared" si="3"/>
        <v>0</v>
      </c>
      <c r="K153" s="16"/>
    </row>
    <row r="154" spans="1:14" ht="15.75" hidden="1" customHeight="1">
      <c r="A154" s="6">
        <v>1774</v>
      </c>
      <c r="B154" s="6" t="s">
        <v>145</v>
      </c>
      <c r="C154" s="7">
        <f t="shared" si="3"/>
        <v>0</v>
      </c>
      <c r="K154" s="8"/>
    </row>
    <row r="155" spans="1:14" ht="15.75" hidden="1" customHeight="1">
      <c r="A155" s="6">
        <v>646757</v>
      </c>
      <c r="B155" s="77" t="s">
        <v>146</v>
      </c>
      <c r="C155" s="7">
        <f t="shared" si="3"/>
        <v>0</v>
      </c>
      <c r="K155" s="16"/>
    </row>
    <row r="156" spans="1:14" ht="15.75" hidden="1" customHeight="1">
      <c r="A156" s="6">
        <v>733000</v>
      </c>
      <c r="B156" s="2" t="s">
        <v>147</v>
      </c>
      <c r="C156" s="7">
        <f t="shared" si="3"/>
        <v>0</v>
      </c>
      <c r="K156" s="8"/>
      <c r="M156" s="22"/>
      <c r="N156" s="42"/>
    </row>
    <row r="157" spans="1:14" ht="15.75" hidden="1" customHeight="1">
      <c r="A157" s="6">
        <v>1402447</v>
      </c>
      <c r="B157" s="6" t="s">
        <v>148</v>
      </c>
      <c r="C157" s="7">
        <f t="shared" si="3"/>
        <v>0</v>
      </c>
      <c r="K157" s="8"/>
    </row>
    <row r="158" spans="1:14" ht="15.75" customHeight="1">
      <c r="A158" s="6">
        <v>647079</v>
      </c>
      <c r="B158" s="2" t="s">
        <v>149</v>
      </c>
      <c r="C158" s="7">
        <f t="shared" si="3"/>
        <v>9</v>
      </c>
      <c r="I158">
        <v>9</v>
      </c>
      <c r="K158" s="8"/>
      <c r="M158" s="22"/>
      <c r="N158" s="42"/>
    </row>
    <row r="159" spans="1:14" ht="15.75" customHeight="1">
      <c r="A159" s="6">
        <v>646624</v>
      </c>
      <c r="B159" s="2" t="s">
        <v>150</v>
      </c>
      <c r="C159" s="7">
        <f t="shared" si="3"/>
        <v>25</v>
      </c>
      <c r="F159">
        <v>25</v>
      </c>
      <c r="K159" s="8"/>
      <c r="N159" s="42"/>
    </row>
    <row r="160" spans="1:14" ht="15.75" customHeight="1">
      <c r="A160" s="6">
        <v>646760</v>
      </c>
      <c r="B160" s="77" t="s">
        <v>151</v>
      </c>
      <c r="C160" s="7">
        <f t="shared" si="3"/>
        <v>23</v>
      </c>
      <c r="I160">
        <v>20</v>
      </c>
      <c r="J160">
        <v>3</v>
      </c>
      <c r="K160" s="8"/>
      <c r="M160" s="22"/>
      <c r="N160" s="42"/>
    </row>
    <row r="161" spans="1:14" ht="15.75" hidden="1" customHeight="1">
      <c r="A161" s="10">
        <v>1442413</v>
      </c>
      <c r="B161" s="11" t="s">
        <v>152</v>
      </c>
      <c r="C161" s="7">
        <f t="shared" si="3"/>
        <v>0</v>
      </c>
      <c r="K161" s="8"/>
      <c r="M161" s="22"/>
      <c r="N161" s="24"/>
    </row>
    <row r="162" spans="1:14" ht="15.75" customHeight="1">
      <c r="A162" s="6">
        <v>1413742</v>
      </c>
      <c r="B162" s="2" t="s">
        <v>153</v>
      </c>
      <c r="C162" s="7">
        <f t="shared" si="3"/>
        <v>10</v>
      </c>
      <c r="I162">
        <v>10</v>
      </c>
      <c r="K162" s="8"/>
      <c r="M162" s="22"/>
      <c r="N162" s="42"/>
    </row>
    <row r="163" spans="1:14" ht="15.75" hidden="1" customHeight="1">
      <c r="A163" s="6">
        <v>1482973</v>
      </c>
      <c r="B163" s="74" t="s">
        <v>259</v>
      </c>
      <c r="C163" s="7">
        <f t="shared" si="3"/>
        <v>0</v>
      </c>
      <c r="K163" s="8"/>
    </row>
    <row r="164" spans="1:14" ht="15.75" customHeight="1">
      <c r="A164" s="6">
        <v>209773</v>
      </c>
      <c r="B164" s="2" t="s">
        <v>154</v>
      </c>
      <c r="C164" s="7">
        <f t="shared" si="3"/>
        <v>10</v>
      </c>
      <c r="G164">
        <v>10</v>
      </c>
      <c r="K164" s="8"/>
      <c r="N164" s="42"/>
    </row>
    <row r="165" spans="1:14" ht="15.75" hidden="1" customHeight="1">
      <c r="A165" s="6">
        <v>650601</v>
      </c>
      <c r="B165" s="6" t="s">
        <v>155</v>
      </c>
      <c r="C165" s="7">
        <f t="shared" si="3"/>
        <v>0</v>
      </c>
      <c r="K165" s="8"/>
    </row>
    <row r="166" spans="1:14" ht="15.75" hidden="1" customHeight="1">
      <c r="A166" s="6">
        <v>1419286</v>
      </c>
      <c r="B166" s="6" t="s">
        <v>156</v>
      </c>
      <c r="C166" s="7">
        <f t="shared" si="3"/>
        <v>0</v>
      </c>
      <c r="K166" s="8"/>
    </row>
    <row r="167" spans="1:14" ht="15.75" hidden="1" customHeight="1">
      <c r="A167" s="6">
        <v>648160</v>
      </c>
      <c r="B167" s="6" t="s">
        <v>157</v>
      </c>
      <c r="C167" s="7">
        <f t="shared" si="3"/>
        <v>0</v>
      </c>
      <c r="K167" s="8"/>
    </row>
    <row r="168" spans="1:14" ht="15.75" hidden="1" customHeight="1">
      <c r="A168" s="6">
        <v>648161</v>
      </c>
      <c r="B168" s="2" t="s">
        <v>158</v>
      </c>
      <c r="C168" s="7">
        <f t="shared" si="3"/>
        <v>0</v>
      </c>
      <c r="K168" s="8"/>
      <c r="M168" s="22"/>
      <c r="N168" s="42"/>
    </row>
    <row r="169" spans="1:14" ht="15.75" hidden="1" customHeight="1">
      <c r="A169" s="6">
        <v>647080</v>
      </c>
      <c r="B169" s="52" t="s">
        <v>159</v>
      </c>
      <c r="C169" s="7">
        <f t="shared" si="3"/>
        <v>0</v>
      </c>
      <c r="K169" s="57" t="s">
        <v>246</v>
      </c>
    </row>
    <row r="170" spans="1:14" ht="15.75" hidden="1" customHeight="1">
      <c r="A170" s="6">
        <v>1399467</v>
      </c>
      <c r="B170" s="6" t="s">
        <v>160</v>
      </c>
      <c r="C170" s="7">
        <f t="shared" si="3"/>
        <v>0</v>
      </c>
      <c r="K170" s="8"/>
    </row>
    <row r="171" spans="1:14" ht="15.75" hidden="1" customHeight="1">
      <c r="A171" s="6">
        <v>1462597</v>
      </c>
      <c r="B171" s="6" t="s">
        <v>233</v>
      </c>
      <c r="C171" s="7">
        <f t="shared" si="3"/>
        <v>0</v>
      </c>
      <c r="K171" s="8"/>
    </row>
    <row r="172" spans="1:14" ht="15.75" hidden="1" customHeight="1">
      <c r="A172" s="6">
        <v>1473297</v>
      </c>
      <c r="B172" s="34" t="s">
        <v>232</v>
      </c>
      <c r="C172" s="7">
        <f t="shared" si="3"/>
        <v>0</v>
      </c>
      <c r="K172" s="8"/>
    </row>
    <row r="173" spans="1:14" ht="15.75" hidden="1" customHeight="1">
      <c r="A173" s="6">
        <v>1459549</v>
      </c>
      <c r="B173" s="75" t="s">
        <v>260</v>
      </c>
      <c r="C173" s="7">
        <f t="shared" si="3"/>
        <v>0</v>
      </c>
      <c r="K173" s="8"/>
    </row>
    <row r="174" spans="1:14" ht="15.75" customHeight="1">
      <c r="A174" s="6">
        <v>646625</v>
      </c>
      <c r="B174" s="2" t="s">
        <v>161</v>
      </c>
      <c r="C174" s="7">
        <f t="shared" si="3"/>
        <v>185</v>
      </c>
      <c r="D174" s="27"/>
      <c r="F174">
        <v>25</v>
      </c>
      <c r="G174">
        <v>150</v>
      </c>
      <c r="H174">
        <v>10</v>
      </c>
      <c r="K174" s="16" t="s">
        <v>263</v>
      </c>
      <c r="M174" s="22"/>
      <c r="N174" s="42"/>
    </row>
    <row r="175" spans="1:14" ht="15.75" hidden="1" customHeight="1">
      <c r="A175" s="6">
        <v>879097</v>
      </c>
      <c r="B175" s="6" t="s">
        <v>162</v>
      </c>
      <c r="C175" s="7">
        <f t="shared" si="3"/>
        <v>0</v>
      </c>
      <c r="K175" s="8"/>
    </row>
    <row r="176" spans="1:14" ht="15.75" hidden="1" customHeight="1">
      <c r="A176" s="6">
        <v>1706</v>
      </c>
      <c r="B176" s="6" t="s">
        <v>163</v>
      </c>
      <c r="C176" s="7">
        <f t="shared" si="3"/>
        <v>0</v>
      </c>
      <c r="K176" s="8"/>
    </row>
    <row r="177" spans="1:14" ht="15.75" hidden="1" customHeight="1">
      <c r="A177" s="6">
        <v>689672</v>
      </c>
      <c r="B177" s="2" t="s">
        <v>164</v>
      </c>
      <c r="C177" s="7">
        <f t="shared" si="3"/>
        <v>0</v>
      </c>
      <c r="K177" s="41" t="s">
        <v>235</v>
      </c>
    </row>
    <row r="178" spans="1:14" ht="15.75" customHeight="1">
      <c r="A178" s="6">
        <v>648164</v>
      </c>
      <c r="B178" s="2" t="s">
        <v>165</v>
      </c>
      <c r="C178" s="7">
        <f t="shared" si="3"/>
        <v>65</v>
      </c>
      <c r="G178">
        <v>5</v>
      </c>
      <c r="H178">
        <v>10</v>
      </c>
      <c r="I178">
        <v>50</v>
      </c>
      <c r="K178" s="44" t="s">
        <v>236</v>
      </c>
      <c r="M178" s="26"/>
      <c r="N178" s="24"/>
    </row>
    <row r="179" spans="1:14" ht="15.75" hidden="1" customHeight="1">
      <c r="A179" s="6">
        <v>1403149</v>
      </c>
      <c r="B179" s="6" t="s">
        <v>166</v>
      </c>
      <c r="C179" s="7">
        <f t="shared" si="3"/>
        <v>0</v>
      </c>
      <c r="K179" s="8"/>
    </row>
    <row r="180" spans="1:14" ht="15.75" customHeight="1">
      <c r="A180" s="6">
        <v>648165</v>
      </c>
      <c r="B180" s="2" t="s">
        <v>167</v>
      </c>
      <c r="C180" s="7">
        <f t="shared" si="3"/>
        <v>58</v>
      </c>
      <c r="D180" s="27"/>
      <c r="F180">
        <v>10</v>
      </c>
      <c r="H180">
        <v>30</v>
      </c>
      <c r="I180" s="21">
        <v>18</v>
      </c>
      <c r="K180" s="86" t="s">
        <v>264</v>
      </c>
      <c r="M180" s="26"/>
      <c r="N180" s="24"/>
    </row>
    <row r="181" spans="1:14" ht="15.75" hidden="1" customHeight="1">
      <c r="A181" s="6">
        <v>647097</v>
      </c>
      <c r="B181" s="6" t="s">
        <v>168</v>
      </c>
      <c r="C181" s="7">
        <f t="shared" si="3"/>
        <v>0</v>
      </c>
      <c r="K181" s="47"/>
    </row>
    <row r="182" spans="1:14" ht="15.75" customHeight="1">
      <c r="A182" s="6">
        <v>2368</v>
      </c>
      <c r="B182" s="2" t="s">
        <v>169</v>
      </c>
      <c r="C182" s="7">
        <f t="shared" si="3"/>
        <v>13</v>
      </c>
      <c r="I182">
        <v>10</v>
      </c>
      <c r="J182">
        <v>3</v>
      </c>
      <c r="K182" s="53"/>
      <c r="M182" s="26"/>
    </row>
    <row r="183" spans="1:14" ht="15.75" customHeight="1">
      <c r="A183" s="6">
        <v>647208</v>
      </c>
      <c r="B183" s="2" t="s">
        <v>170</v>
      </c>
      <c r="C183" s="7">
        <f t="shared" si="3"/>
        <v>5</v>
      </c>
      <c r="G183">
        <v>5</v>
      </c>
      <c r="K183" s="8"/>
    </row>
    <row r="184" spans="1:14" ht="15.75" hidden="1" customHeight="1">
      <c r="A184" s="6">
        <v>120330</v>
      </c>
      <c r="B184" s="6" t="s">
        <v>171</v>
      </c>
      <c r="C184" s="7">
        <f t="shared" si="3"/>
        <v>0</v>
      </c>
      <c r="K184" s="8"/>
    </row>
    <row r="185" spans="1:14" ht="15.75" customHeight="1">
      <c r="A185" s="6">
        <v>646626</v>
      </c>
      <c r="B185" s="2" t="s">
        <v>172</v>
      </c>
      <c r="C185" s="7">
        <f t="shared" si="3"/>
        <v>2</v>
      </c>
      <c r="H185">
        <v>2</v>
      </c>
      <c r="K185" s="8"/>
      <c r="M185" s="26"/>
      <c r="N185" s="24"/>
    </row>
    <row r="186" spans="1:14" ht="15.75" hidden="1" customHeight="1">
      <c r="A186" s="12">
        <v>773400</v>
      </c>
      <c r="B186" s="13" t="s">
        <v>173</v>
      </c>
      <c r="C186" s="7">
        <f t="shared" si="3"/>
        <v>0</v>
      </c>
      <c r="K186" s="8"/>
      <c r="M186" s="28"/>
    </row>
    <row r="187" spans="1:14" ht="15.75" hidden="1" customHeight="1">
      <c r="A187" s="6">
        <v>647081</v>
      </c>
      <c r="B187" s="6" t="s">
        <v>174</v>
      </c>
      <c r="C187" s="7">
        <f t="shared" si="3"/>
        <v>0</v>
      </c>
      <c r="K187" s="8"/>
    </row>
    <row r="188" spans="1:14" ht="15.75" hidden="1" customHeight="1">
      <c r="A188" s="6">
        <v>120340</v>
      </c>
      <c r="B188" s="2" t="s">
        <v>175</v>
      </c>
      <c r="C188" s="7">
        <f t="shared" si="3"/>
        <v>0</v>
      </c>
      <c r="K188" s="8"/>
      <c r="N188" s="24"/>
    </row>
    <row r="189" spans="1:14" ht="15.75" hidden="1" customHeight="1">
      <c r="A189" s="6">
        <v>733006</v>
      </c>
      <c r="B189" s="6" t="s">
        <v>176</v>
      </c>
      <c r="C189" s="7">
        <f t="shared" si="3"/>
        <v>0</v>
      </c>
      <c r="K189" s="8"/>
    </row>
    <row r="190" spans="1:14" ht="15.75" hidden="1" customHeight="1">
      <c r="A190" s="6">
        <v>1399468</v>
      </c>
      <c r="B190" s="2" t="s">
        <v>177</v>
      </c>
      <c r="C190" s="7">
        <f t="shared" si="3"/>
        <v>0</v>
      </c>
      <c r="K190" s="8"/>
      <c r="M190" s="26"/>
      <c r="N190" s="24"/>
    </row>
    <row r="191" spans="1:14" ht="15.75" hidden="1" customHeight="1">
      <c r="A191" s="10">
        <v>1455130</v>
      </c>
      <c r="B191" s="14" t="s">
        <v>178</v>
      </c>
      <c r="C191" s="7">
        <f t="shared" si="3"/>
        <v>0</v>
      </c>
      <c r="K191" s="8"/>
    </row>
    <row r="192" spans="1:14" ht="15.75" customHeight="1">
      <c r="A192" s="6">
        <v>655496</v>
      </c>
      <c r="B192" s="2" t="s">
        <v>179</v>
      </c>
      <c r="C192" s="7">
        <f t="shared" si="3"/>
        <v>5</v>
      </c>
      <c r="I192">
        <v>5</v>
      </c>
      <c r="K192" s="8"/>
      <c r="M192" s="28"/>
    </row>
    <row r="193" spans="1:14" ht="15.75" hidden="1" customHeight="1">
      <c r="A193" s="6">
        <v>646627</v>
      </c>
      <c r="B193" s="2" t="s">
        <v>180</v>
      </c>
      <c r="C193" s="7">
        <f t="shared" si="3"/>
        <v>0</v>
      </c>
      <c r="K193" s="8"/>
      <c r="M193" s="28"/>
      <c r="N193" s="24"/>
    </row>
    <row r="194" spans="1:14" ht="15.75" hidden="1" customHeight="1">
      <c r="A194" s="6">
        <v>647202</v>
      </c>
      <c r="B194" s="2" t="s">
        <v>181</v>
      </c>
      <c r="C194" s="7">
        <f t="shared" si="3"/>
        <v>0</v>
      </c>
      <c r="K194" s="48"/>
    </row>
    <row r="195" spans="1:14" ht="15.75" customHeight="1">
      <c r="A195" s="6">
        <v>120342</v>
      </c>
      <c r="B195" s="2" t="s">
        <v>182</v>
      </c>
      <c r="C195" s="7">
        <f t="shared" si="3"/>
        <v>31</v>
      </c>
      <c r="I195">
        <v>6</v>
      </c>
      <c r="J195">
        <v>25</v>
      </c>
      <c r="K195" s="8"/>
      <c r="M195" s="28"/>
    </row>
    <row r="196" spans="1:14" ht="15.75" hidden="1" customHeight="1">
      <c r="A196" s="6">
        <v>1402300</v>
      </c>
      <c r="B196" s="6" t="s">
        <v>183</v>
      </c>
      <c r="C196" s="7">
        <f t="shared" si="3"/>
        <v>0</v>
      </c>
      <c r="K196" s="8"/>
    </row>
    <row r="197" spans="1:14" ht="15.75" customHeight="1">
      <c r="A197" s="6">
        <v>120343</v>
      </c>
      <c r="B197" s="2" t="s">
        <v>184</v>
      </c>
      <c r="C197" s="7">
        <f t="shared" si="3"/>
        <v>3</v>
      </c>
      <c r="I197">
        <v>3</v>
      </c>
      <c r="K197" s="8"/>
      <c r="M197" s="28"/>
    </row>
    <row r="198" spans="1:14" ht="15.75" hidden="1" customHeight="1">
      <c r="A198" s="6">
        <v>650247</v>
      </c>
      <c r="B198" s="2" t="s">
        <v>185</v>
      </c>
      <c r="C198" s="7">
        <f t="shared" si="3"/>
        <v>0</v>
      </c>
      <c r="K198" s="8"/>
    </row>
    <row r="199" spans="1:14" ht="15.75" customHeight="1">
      <c r="A199" s="6">
        <v>646628</v>
      </c>
      <c r="B199" s="2" t="s">
        <v>186</v>
      </c>
      <c r="C199" s="7">
        <f t="shared" si="3"/>
        <v>160</v>
      </c>
      <c r="G199">
        <v>160</v>
      </c>
      <c r="K199" s="51"/>
      <c r="M199" s="28"/>
    </row>
    <row r="200" spans="1:14" ht="15.75" hidden="1" customHeight="1">
      <c r="A200" s="6">
        <v>646629</v>
      </c>
      <c r="B200" s="2" t="s">
        <v>187</v>
      </c>
      <c r="C200" s="7">
        <f t="shared" si="3"/>
        <v>0</v>
      </c>
      <c r="K200" s="20"/>
      <c r="M200" s="28"/>
    </row>
    <row r="201" spans="1:14" ht="15.75" hidden="1" customHeight="1">
      <c r="A201" s="6">
        <v>1472955</v>
      </c>
      <c r="B201" s="2" t="s">
        <v>238</v>
      </c>
      <c r="C201" s="7">
        <f t="shared" si="3"/>
        <v>0</v>
      </c>
      <c r="D201" s="27"/>
      <c r="K201" s="20"/>
      <c r="M201" s="28"/>
    </row>
    <row r="202" spans="1:14" ht="15.75" hidden="1" customHeight="1">
      <c r="A202" s="6">
        <v>1399460</v>
      </c>
      <c r="B202" s="6" t="s">
        <v>188</v>
      </c>
      <c r="C202" s="7">
        <f t="shared" si="3"/>
        <v>0</v>
      </c>
      <c r="K202" s="8"/>
    </row>
    <row r="203" spans="1:14" ht="15.75" hidden="1" customHeight="1">
      <c r="A203" s="6">
        <v>1402451</v>
      </c>
      <c r="B203" s="2" t="s">
        <v>189</v>
      </c>
      <c r="C203" s="7">
        <f t="shared" si="3"/>
        <v>0</v>
      </c>
      <c r="K203" s="8"/>
    </row>
    <row r="204" spans="1:14" ht="15.75" hidden="1" customHeight="1">
      <c r="A204" s="6">
        <v>647092</v>
      </c>
      <c r="B204" s="6" t="s">
        <v>190</v>
      </c>
      <c r="C204" s="7">
        <f t="shared" si="3"/>
        <v>0</v>
      </c>
      <c r="K204" s="8"/>
    </row>
    <row r="205" spans="1:14" ht="15.75" hidden="1" customHeight="1">
      <c r="A205" s="6">
        <v>646630</v>
      </c>
      <c r="B205" s="2" t="s">
        <v>191</v>
      </c>
      <c r="C205" s="7">
        <f t="shared" si="3"/>
        <v>0</v>
      </c>
      <c r="K205" s="8"/>
    </row>
    <row r="206" spans="1:14" ht="15.75" hidden="1" customHeight="1">
      <c r="A206" s="6">
        <v>646631</v>
      </c>
      <c r="B206" s="2" t="s">
        <v>192</v>
      </c>
      <c r="C206" s="7">
        <f t="shared" si="3"/>
        <v>0</v>
      </c>
      <c r="K206" s="8"/>
      <c r="M206" s="28"/>
    </row>
    <row r="207" spans="1:14" ht="15.75" hidden="1" customHeight="1">
      <c r="A207" s="6">
        <v>647093</v>
      </c>
      <c r="B207" s="2" t="s">
        <v>193</v>
      </c>
      <c r="C207" s="7">
        <f t="shared" si="3"/>
        <v>0</v>
      </c>
      <c r="K207" s="8"/>
    </row>
    <row r="208" spans="1:14" ht="15.75" hidden="1" customHeight="1">
      <c r="A208" s="6">
        <v>646752</v>
      </c>
      <c r="B208" s="2" t="s">
        <v>194</v>
      </c>
      <c r="C208" s="7">
        <f t="shared" si="3"/>
        <v>0</v>
      </c>
      <c r="K208" s="8"/>
      <c r="M208" s="26"/>
    </row>
    <row r="209" spans="1:13" ht="15.75" hidden="1" customHeight="1">
      <c r="A209" s="6">
        <v>1399469</v>
      </c>
      <c r="B209" s="2" t="s">
        <v>195</v>
      </c>
      <c r="C209" s="7">
        <f t="shared" si="3"/>
        <v>0</v>
      </c>
      <c r="K209" s="8"/>
    </row>
    <row r="210" spans="1:13" ht="15.75" hidden="1" customHeight="1">
      <c r="A210" s="6">
        <v>647197</v>
      </c>
      <c r="B210" s="6" t="s">
        <v>196</v>
      </c>
      <c r="C210" s="7">
        <f t="shared" si="3"/>
        <v>0</v>
      </c>
      <c r="K210" s="8"/>
    </row>
    <row r="211" spans="1:13" ht="15.75" hidden="1" customHeight="1">
      <c r="A211" s="6">
        <v>1399470</v>
      </c>
      <c r="B211" s="2" t="s">
        <v>197</v>
      </c>
      <c r="C211" s="7">
        <f t="shared" si="3"/>
        <v>0</v>
      </c>
      <c r="K211" s="8"/>
    </row>
    <row r="212" spans="1:13" ht="15.75" hidden="1" customHeight="1">
      <c r="A212" s="6">
        <v>1399471</v>
      </c>
      <c r="B212" s="6" t="s">
        <v>198</v>
      </c>
      <c r="C212" s="7">
        <f t="shared" si="3"/>
        <v>0</v>
      </c>
      <c r="K212" s="8"/>
    </row>
    <row r="213" spans="1:13" ht="15.75" hidden="1" customHeight="1">
      <c r="A213" s="6">
        <v>983022</v>
      </c>
      <c r="B213" s="6" t="s">
        <v>199</v>
      </c>
      <c r="C213" s="7">
        <f t="shared" si="3"/>
        <v>0</v>
      </c>
      <c r="K213" s="8"/>
    </row>
    <row r="214" spans="1:13" ht="15.75" customHeight="1">
      <c r="A214" s="6">
        <v>737720</v>
      </c>
      <c r="B214" s="2" t="s">
        <v>200</v>
      </c>
      <c r="C214" s="7">
        <f t="shared" si="3"/>
        <v>7</v>
      </c>
      <c r="I214">
        <v>7</v>
      </c>
      <c r="K214" s="8"/>
      <c r="M214" s="26"/>
    </row>
    <row r="215" spans="1:13" ht="15.75" hidden="1" customHeight="1">
      <c r="A215" s="6">
        <v>1402449</v>
      </c>
      <c r="B215" s="6" t="s">
        <v>201</v>
      </c>
      <c r="C215" s="7">
        <f t="shared" si="3"/>
        <v>0</v>
      </c>
      <c r="K215" s="8"/>
    </row>
    <row r="216" spans="1:13" ht="15.75" hidden="1" customHeight="1">
      <c r="A216" s="6">
        <v>1402453</v>
      </c>
      <c r="B216" s="2" t="s">
        <v>202</v>
      </c>
      <c r="C216" s="7">
        <f t="shared" si="3"/>
        <v>0</v>
      </c>
      <c r="K216" s="8"/>
    </row>
    <row r="217" spans="1:13" ht="15.75" hidden="1" customHeight="1">
      <c r="A217" s="6">
        <v>649013</v>
      </c>
      <c r="B217" s="2" t="s">
        <v>227</v>
      </c>
      <c r="C217" s="7">
        <f t="shared" ref="C217:C246" si="4">D217+E217+F217+H217+I217+G217+J217</f>
        <v>0</v>
      </c>
      <c r="D217" s="27"/>
      <c r="K217" s="8"/>
      <c r="M217" s="28"/>
    </row>
    <row r="218" spans="1:13" ht="15.75" hidden="1" customHeight="1">
      <c r="A218" s="6">
        <v>649006</v>
      </c>
      <c r="B218" s="2" t="s">
        <v>228</v>
      </c>
      <c r="C218" s="7">
        <f t="shared" si="4"/>
        <v>0</v>
      </c>
      <c r="K218" s="8"/>
    </row>
    <row r="219" spans="1:13" ht="15.75" hidden="1" customHeight="1">
      <c r="A219" s="6">
        <v>648162</v>
      </c>
      <c r="B219" s="6" t="s">
        <v>203</v>
      </c>
      <c r="C219" s="7">
        <f t="shared" si="4"/>
        <v>0</v>
      </c>
      <c r="K219" s="8"/>
    </row>
    <row r="220" spans="1:13" ht="15.75" hidden="1" customHeight="1">
      <c r="A220" s="6">
        <v>1343167</v>
      </c>
      <c r="B220" s="6" t="s">
        <v>204</v>
      </c>
      <c r="C220" s="7">
        <f t="shared" si="4"/>
        <v>0</v>
      </c>
      <c r="K220" s="8"/>
    </row>
    <row r="221" spans="1:13" ht="15.75" hidden="1" customHeight="1">
      <c r="A221" s="6">
        <v>647053</v>
      </c>
      <c r="B221" s="6" t="s">
        <v>205</v>
      </c>
      <c r="C221" s="7">
        <f t="shared" si="4"/>
        <v>0</v>
      </c>
      <c r="K221" s="8"/>
    </row>
    <row r="222" spans="1:13" ht="15.75" customHeight="1">
      <c r="A222" s="6">
        <v>647198</v>
      </c>
      <c r="B222" s="2" t="s">
        <v>206</v>
      </c>
      <c r="C222" s="7">
        <f t="shared" si="4"/>
        <v>22</v>
      </c>
      <c r="G222">
        <v>6</v>
      </c>
      <c r="I222">
        <v>16</v>
      </c>
      <c r="K222" s="8"/>
      <c r="M222" s="28"/>
    </row>
    <row r="223" spans="1:13" ht="15.75" hidden="1" customHeight="1">
      <c r="A223" s="6">
        <v>647094</v>
      </c>
      <c r="B223" s="6" t="s">
        <v>207</v>
      </c>
      <c r="C223" s="7">
        <f t="shared" si="4"/>
        <v>0</v>
      </c>
      <c r="K223" s="8"/>
    </row>
    <row r="224" spans="1:13" ht="15.75" customHeight="1">
      <c r="A224" s="6">
        <v>647095</v>
      </c>
      <c r="B224" s="2" t="s">
        <v>208</v>
      </c>
      <c r="C224" s="7">
        <f t="shared" si="4"/>
        <v>55</v>
      </c>
      <c r="G224">
        <v>40</v>
      </c>
      <c r="H224">
        <v>15</v>
      </c>
      <c r="K224" s="76"/>
      <c r="M224" s="28"/>
    </row>
    <row r="225" spans="1:13" ht="15.75" hidden="1" customHeight="1">
      <c r="A225" s="6">
        <v>647096</v>
      </c>
      <c r="B225" s="6" t="s">
        <v>209</v>
      </c>
      <c r="C225" s="7">
        <f t="shared" si="4"/>
        <v>0</v>
      </c>
      <c r="K225" s="33"/>
    </row>
    <row r="226" spans="1:13" ht="15.75" hidden="1" customHeight="1">
      <c r="A226" s="6">
        <v>1376239</v>
      </c>
      <c r="B226" s="2" t="s">
        <v>210</v>
      </c>
      <c r="C226" s="7">
        <f t="shared" si="4"/>
        <v>0</v>
      </c>
      <c r="K226" s="8"/>
      <c r="M226" s="26"/>
    </row>
    <row r="227" spans="1:13" ht="15.75" hidden="1" customHeight="1">
      <c r="A227" s="6">
        <v>1399472</v>
      </c>
      <c r="B227" s="6" t="s">
        <v>211</v>
      </c>
      <c r="C227" s="7">
        <f t="shared" si="4"/>
        <v>0</v>
      </c>
      <c r="K227" s="8"/>
    </row>
    <row r="228" spans="1:13" ht="15.75" hidden="1" customHeight="1">
      <c r="A228" s="6">
        <v>1343164</v>
      </c>
      <c r="B228" s="2" t="s">
        <v>230</v>
      </c>
      <c r="C228" s="7">
        <f t="shared" si="4"/>
        <v>0</v>
      </c>
      <c r="K228" s="8"/>
      <c r="M228" s="26"/>
    </row>
    <row r="229" spans="1:13" ht="15.75" customHeight="1">
      <c r="A229" s="6">
        <v>647054</v>
      </c>
      <c r="B229" s="2" t="s">
        <v>212</v>
      </c>
      <c r="C229" s="7">
        <f t="shared" si="4"/>
        <v>1</v>
      </c>
      <c r="G229">
        <v>1</v>
      </c>
      <c r="K229" s="73"/>
    </row>
    <row r="230" spans="1:13" ht="15.75" hidden="1" customHeight="1">
      <c r="A230" s="6">
        <v>892223</v>
      </c>
      <c r="B230" s="6" t="s">
        <v>213</v>
      </c>
      <c r="C230" s="7">
        <f t="shared" si="4"/>
        <v>0</v>
      </c>
      <c r="K230" s="19"/>
    </row>
    <row r="231" spans="1:13" ht="15.75" hidden="1" customHeight="1">
      <c r="A231" s="72">
        <v>1473303</v>
      </c>
      <c r="B231" s="72" t="s">
        <v>258</v>
      </c>
      <c r="C231" s="7">
        <f t="shared" si="4"/>
        <v>0</v>
      </c>
      <c r="K231" s="16"/>
      <c r="M231" s="26"/>
    </row>
    <row r="232" spans="1:13" ht="15.75" hidden="1" customHeight="1">
      <c r="A232" s="6">
        <v>179810</v>
      </c>
      <c r="B232" s="6" t="s">
        <v>214</v>
      </c>
      <c r="C232" s="7">
        <f t="shared" si="4"/>
        <v>0</v>
      </c>
      <c r="K232" s="8"/>
    </row>
    <row r="233" spans="1:13" ht="15.75" hidden="1" customHeight="1">
      <c r="A233" s="6">
        <v>179777</v>
      </c>
      <c r="B233" s="2" t="s">
        <v>215</v>
      </c>
      <c r="C233" s="7">
        <f t="shared" si="4"/>
        <v>0</v>
      </c>
      <c r="K233" s="8"/>
      <c r="M233" s="28"/>
    </row>
    <row r="234" spans="1:13" ht="15.75" hidden="1" customHeight="1">
      <c r="A234" s="6">
        <v>172449</v>
      </c>
      <c r="B234" s="6" t="s">
        <v>216</v>
      </c>
      <c r="C234" s="7">
        <f t="shared" si="4"/>
        <v>0</v>
      </c>
      <c r="K234" s="8"/>
    </row>
    <row r="235" spans="1:13" ht="15.75" hidden="1" customHeight="1">
      <c r="A235" s="6">
        <v>824854</v>
      </c>
      <c r="B235" s="6" t="s">
        <v>217</v>
      </c>
      <c r="C235" s="7">
        <f t="shared" si="4"/>
        <v>0</v>
      </c>
      <c r="K235" s="8"/>
    </row>
    <row r="236" spans="1:13" ht="15.75" customHeight="1">
      <c r="A236" s="64">
        <v>646753</v>
      </c>
      <c r="B236" s="2" t="s">
        <v>218</v>
      </c>
      <c r="C236" s="7">
        <f t="shared" si="4"/>
        <v>47</v>
      </c>
      <c r="G236">
        <v>2</v>
      </c>
      <c r="I236">
        <v>45</v>
      </c>
      <c r="K236" s="17"/>
      <c r="M236" s="28"/>
    </row>
    <row r="237" spans="1:13" ht="15.75" customHeight="1">
      <c r="A237" s="6">
        <v>1413747</v>
      </c>
      <c r="B237" s="2" t="s">
        <v>219</v>
      </c>
      <c r="C237" s="7">
        <f t="shared" si="4"/>
        <v>16</v>
      </c>
      <c r="G237">
        <v>6</v>
      </c>
      <c r="I237">
        <v>10</v>
      </c>
      <c r="K237" s="8" t="s">
        <v>231</v>
      </c>
      <c r="M237" s="26"/>
    </row>
    <row r="238" spans="1:13" ht="15.75" customHeight="1">
      <c r="A238" s="18">
        <v>646754</v>
      </c>
      <c r="B238" s="67" t="s">
        <v>220</v>
      </c>
      <c r="C238" s="7">
        <f t="shared" si="4"/>
        <v>15</v>
      </c>
      <c r="D238" s="71"/>
      <c r="H238">
        <v>15</v>
      </c>
      <c r="K238" s="66"/>
      <c r="M238" s="28"/>
    </row>
    <row r="239" spans="1:13" ht="15.75" hidden="1" customHeight="1">
      <c r="A239" s="18">
        <v>194594</v>
      </c>
      <c r="B239" s="18" t="s">
        <v>221</v>
      </c>
      <c r="C239" s="7">
        <f t="shared" si="4"/>
        <v>0</v>
      </c>
      <c r="K239" s="66"/>
    </row>
    <row r="240" spans="1:13" ht="15.75" hidden="1" customHeight="1">
      <c r="A240" s="6">
        <v>1461425</v>
      </c>
      <c r="B240" s="2" t="s">
        <v>222</v>
      </c>
      <c r="C240" s="7">
        <f t="shared" si="4"/>
        <v>0</v>
      </c>
      <c r="K240" s="38"/>
    </row>
    <row r="241" spans="1:11" ht="15.75" hidden="1" customHeight="1">
      <c r="A241" s="6">
        <v>1461591</v>
      </c>
      <c r="B241" s="2" t="s">
        <v>223</v>
      </c>
      <c r="C241" s="7">
        <f t="shared" si="4"/>
        <v>0</v>
      </c>
      <c r="K241" s="8"/>
    </row>
    <row r="242" spans="1:11" ht="15.75" hidden="1" customHeight="1">
      <c r="A242" s="6">
        <v>1461424</v>
      </c>
      <c r="B242" s="6" t="s">
        <v>224</v>
      </c>
      <c r="C242" s="7">
        <f t="shared" si="4"/>
        <v>0</v>
      </c>
      <c r="K242" s="16"/>
    </row>
    <row r="243" spans="1:11" ht="15.75" hidden="1" customHeight="1">
      <c r="A243" s="15">
        <v>1461592</v>
      </c>
      <c r="B243" s="12" t="s">
        <v>225</v>
      </c>
      <c r="C243" s="7">
        <f t="shared" si="4"/>
        <v>0</v>
      </c>
      <c r="K243" s="16"/>
    </row>
    <row r="244" spans="1:11" ht="15.75" hidden="1" customHeight="1">
      <c r="A244" s="65">
        <v>647072</v>
      </c>
      <c r="B244" s="65" t="s">
        <v>226</v>
      </c>
      <c r="C244" s="7">
        <f t="shared" si="4"/>
        <v>0</v>
      </c>
      <c r="K244" s="17"/>
    </row>
    <row r="245" spans="1:11" hidden="1">
      <c r="A245" s="6" t="s">
        <v>252</v>
      </c>
      <c r="B245" s="2" t="s">
        <v>253</v>
      </c>
      <c r="C245" s="7">
        <f t="shared" si="4"/>
        <v>0</v>
      </c>
      <c r="D245" s="71"/>
    </row>
    <row r="246" spans="1:11" hidden="1">
      <c r="A246" s="6">
        <v>1222020</v>
      </c>
      <c r="B246" s="69" t="s">
        <v>254</v>
      </c>
      <c r="C246" s="7">
        <f t="shared" si="4"/>
        <v>0</v>
      </c>
    </row>
    <row r="247" spans="1:11">
      <c r="K247" s="68"/>
    </row>
    <row r="248" spans="1:11">
      <c r="K248"/>
    </row>
    <row r="249" spans="1:11">
      <c r="K249"/>
    </row>
    <row r="250" spans="1:11">
      <c r="K250"/>
    </row>
    <row r="251" spans="1:11">
      <c r="K251"/>
    </row>
    <row r="252" spans="1:11">
      <c r="K252"/>
    </row>
    <row r="253" spans="1:11">
      <c r="K253"/>
    </row>
    <row r="254" spans="1:11">
      <c r="K254"/>
    </row>
    <row r="255" spans="1:11">
      <c r="B255" s="55"/>
      <c r="K255"/>
    </row>
    <row r="256" spans="1:11">
      <c r="K256"/>
    </row>
    <row r="257" spans="2:11">
      <c r="K257"/>
    </row>
    <row r="258" spans="2:11">
      <c r="B258" s="46" t="s">
        <v>242</v>
      </c>
      <c r="K258"/>
    </row>
    <row r="259" spans="2:11">
      <c r="K259"/>
    </row>
    <row r="260" spans="2:11">
      <c r="K260"/>
    </row>
    <row r="261" spans="2:11">
      <c r="K261"/>
    </row>
    <row r="262" spans="2:11">
      <c r="K262"/>
    </row>
    <row r="263" spans="2:11">
      <c r="K263"/>
    </row>
    <row r="264" spans="2:11">
      <c r="K264"/>
    </row>
    <row r="265" spans="2:11">
      <c r="K265"/>
    </row>
    <row r="266" spans="2:11">
      <c r="K266"/>
    </row>
    <row r="267" spans="2:11">
      <c r="K267"/>
    </row>
    <row r="268" spans="2:11">
      <c r="K268"/>
    </row>
    <row r="269" spans="2:11">
      <c r="K269"/>
    </row>
    <row r="270" spans="2:11">
      <c r="K270"/>
    </row>
    <row r="271" spans="2:11">
      <c r="K271"/>
    </row>
    <row r="272" spans="2:11">
      <c r="K272"/>
    </row>
    <row r="273" spans="11:11">
      <c r="K273"/>
    </row>
    <row r="274" spans="11:11">
      <c r="K274"/>
    </row>
    <row r="275" spans="11:11">
      <c r="K275"/>
    </row>
    <row r="276" spans="11:11">
      <c r="K276"/>
    </row>
    <row r="277" spans="11:11">
      <c r="K277"/>
    </row>
    <row r="278" spans="11:11">
      <c r="K278"/>
    </row>
    <row r="279" spans="11:11">
      <c r="K279"/>
    </row>
    <row r="280" spans="11:11">
      <c r="K280"/>
    </row>
    <row r="281" spans="11:11">
      <c r="K281"/>
    </row>
    <row r="282" spans="11:11">
      <c r="K282"/>
    </row>
    <row r="283" spans="11:11">
      <c r="K283"/>
    </row>
    <row r="284" spans="11:11">
      <c r="K284"/>
    </row>
    <row r="285" spans="11:11">
      <c r="K285"/>
    </row>
    <row r="286" spans="11:11">
      <c r="K286"/>
    </row>
    <row r="287" spans="11:11">
      <c r="K287"/>
    </row>
    <row r="288" spans="11:11">
      <c r="K288"/>
    </row>
    <row r="289" spans="11:11">
      <c r="K289"/>
    </row>
    <row r="290" spans="11:11">
      <c r="K290"/>
    </row>
    <row r="291" spans="11:11">
      <c r="K291"/>
    </row>
    <row r="292" spans="11:11">
      <c r="K292"/>
    </row>
    <row r="293" spans="11:11">
      <c r="K293"/>
    </row>
    <row r="294" spans="11:11">
      <c r="K294"/>
    </row>
    <row r="295" spans="11:11">
      <c r="K295"/>
    </row>
    <row r="296" spans="11:11">
      <c r="K296"/>
    </row>
    <row r="297" spans="11:11">
      <c r="K297"/>
    </row>
    <row r="298" spans="11:11">
      <c r="K298"/>
    </row>
    <row r="299" spans="11:11">
      <c r="K299"/>
    </row>
    <row r="300" spans="11:11">
      <c r="K300"/>
    </row>
    <row r="301" spans="11:11">
      <c r="K301"/>
    </row>
    <row r="302" spans="11:11">
      <c r="K302"/>
    </row>
    <row r="303" spans="11:11">
      <c r="K303"/>
    </row>
    <row r="304" spans="11:11">
      <c r="K304"/>
    </row>
    <row r="305" spans="11:11">
      <c r="K305"/>
    </row>
    <row r="306" spans="11:11">
      <c r="K306"/>
    </row>
    <row r="307" spans="11:11">
      <c r="K307"/>
    </row>
    <row r="308" spans="11:11">
      <c r="K308"/>
    </row>
    <row r="309" spans="11:11">
      <c r="K309"/>
    </row>
    <row r="310" spans="11:11">
      <c r="K310"/>
    </row>
    <row r="311" spans="11:11">
      <c r="K311"/>
    </row>
    <row r="312" spans="11:11">
      <c r="K312"/>
    </row>
    <row r="313" spans="11:11">
      <c r="K313"/>
    </row>
    <row r="314" spans="11:11">
      <c r="K314"/>
    </row>
    <row r="315" spans="11:11">
      <c r="K315"/>
    </row>
    <row r="316" spans="11:11">
      <c r="K316"/>
    </row>
    <row r="317" spans="11:11">
      <c r="K317"/>
    </row>
    <row r="318" spans="11:11">
      <c r="K318"/>
    </row>
    <row r="319" spans="11:11">
      <c r="K319"/>
    </row>
    <row r="320" spans="11:11">
      <c r="K320"/>
    </row>
    <row r="321" spans="11:11">
      <c r="K321"/>
    </row>
    <row r="322" spans="11:11">
      <c r="K322"/>
    </row>
    <row r="323" spans="11:11">
      <c r="K323"/>
    </row>
    <row r="324" spans="11:11">
      <c r="K324"/>
    </row>
    <row r="325" spans="11:11">
      <c r="K325"/>
    </row>
    <row r="326" spans="11:11">
      <c r="K326"/>
    </row>
    <row r="327" spans="11:11">
      <c r="K327"/>
    </row>
    <row r="328" spans="11:11">
      <c r="K328"/>
    </row>
    <row r="329" spans="11:11">
      <c r="K329"/>
    </row>
    <row r="330" spans="11:11">
      <c r="K330"/>
    </row>
    <row r="331" spans="11:11">
      <c r="K331"/>
    </row>
    <row r="332" spans="11:11">
      <c r="K332"/>
    </row>
    <row r="333" spans="11:11">
      <c r="K333"/>
    </row>
    <row r="334" spans="11:11">
      <c r="K334"/>
    </row>
    <row r="335" spans="11:11">
      <c r="K335"/>
    </row>
    <row r="336" spans="11:11">
      <c r="K336"/>
    </row>
    <row r="337" spans="11:11">
      <c r="K337"/>
    </row>
    <row r="338" spans="11:11">
      <c r="K338"/>
    </row>
    <row r="339" spans="11:11">
      <c r="K339"/>
    </row>
    <row r="340" spans="11:11">
      <c r="K340"/>
    </row>
    <row r="341" spans="11:11">
      <c r="K341"/>
    </row>
    <row r="342" spans="11:11">
      <c r="K342"/>
    </row>
    <row r="343" spans="11:11">
      <c r="K343"/>
    </row>
    <row r="344" spans="11:11">
      <c r="K344"/>
    </row>
    <row r="345" spans="11:11">
      <c r="K345"/>
    </row>
    <row r="346" spans="11:11">
      <c r="K346"/>
    </row>
    <row r="347" spans="11:11">
      <c r="K347"/>
    </row>
    <row r="348" spans="11:11">
      <c r="K348"/>
    </row>
    <row r="349" spans="11:11">
      <c r="K349"/>
    </row>
    <row r="350" spans="11:11">
      <c r="K350"/>
    </row>
    <row r="351" spans="11:11">
      <c r="K351"/>
    </row>
    <row r="352" spans="11:11">
      <c r="K352"/>
    </row>
    <row r="353" spans="11:11">
      <c r="K353"/>
    </row>
    <row r="354" spans="11:11">
      <c r="K354"/>
    </row>
    <row r="355" spans="11:11">
      <c r="K355"/>
    </row>
    <row r="356" spans="11:11">
      <c r="K356"/>
    </row>
    <row r="357" spans="11:11">
      <c r="K357"/>
    </row>
    <row r="358" spans="11:11">
      <c r="K358"/>
    </row>
    <row r="359" spans="11:11">
      <c r="K359"/>
    </row>
    <row r="360" spans="11:11">
      <c r="K360"/>
    </row>
    <row r="361" spans="11:11">
      <c r="K361"/>
    </row>
    <row r="362" spans="11:11">
      <c r="K362"/>
    </row>
    <row r="363" spans="11:11">
      <c r="K363"/>
    </row>
    <row r="364" spans="11:11">
      <c r="K364"/>
    </row>
    <row r="365" spans="11:11">
      <c r="K365"/>
    </row>
    <row r="366" spans="11:11">
      <c r="K366"/>
    </row>
    <row r="367" spans="11:11">
      <c r="K367"/>
    </row>
    <row r="368" spans="11:11">
      <c r="K368"/>
    </row>
    <row r="369" spans="11:11">
      <c r="K369"/>
    </row>
    <row r="370" spans="11:11">
      <c r="K370"/>
    </row>
    <row r="371" spans="11:11">
      <c r="K371"/>
    </row>
    <row r="372" spans="11:11">
      <c r="K372"/>
    </row>
    <row r="373" spans="11:11">
      <c r="K373"/>
    </row>
    <row r="374" spans="11:11">
      <c r="K374"/>
    </row>
    <row r="375" spans="11:11">
      <c r="K375"/>
    </row>
    <row r="376" spans="11:11">
      <c r="K376"/>
    </row>
    <row r="377" spans="11:11">
      <c r="K377"/>
    </row>
    <row r="378" spans="11:11">
      <c r="K378"/>
    </row>
    <row r="379" spans="11:11">
      <c r="K379"/>
    </row>
    <row r="380" spans="11:11">
      <c r="K380"/>
    </row>
    <row r="381" spans="11:11">
      <c r="K381"/>
    </row>
    <row r="382" spans="11:11">
      <c r="K382"/>
    </row>
    <row r="383" spans="11:11">
      <c r="K383"/>
    </row>
    <row r="384" spans="11:11">
      <c r="K384"/>
    </row>
    <row r="385" spans="11:11">
      <c r="K385"/>
    </row>
    <row r="386" spans="11:11">
      <c r="K386"/>
    </row>
    <row r="387" spans="11:11">
      <c r="K387"/>
    </row>
    <row r="388" spans="11:11">
      <c r="K388"/>
    </row>
    <row r="389" spans="11:11">
      <c r="K389"/>
    </row>
    <row r="390" spans="11:11">
      <c r="K390"/>
    </row>
    <row r="391" spans="11:11">
      <c r="K391"/>
    </row>
    <row r="392" spans="11:11">
      <c r="K392"/>
    </row>
    <row r="393" spans="11:11">
      <c r="K393"/>
    </row>
    <row r="394" spans="11:11">
      <c r="K394"/>
    </row>
    <row r="395" spans="11:11">
      <c r="K395"/>
    </row>
    <row r="396" spans="11:11">
      <c r="K396"/>
    </row>
    <row r="397" spans="11:11">
      <c r="K397"/>
    </row>
    <row r="398" spans="11:11">
      <c r="K398"/>
    </row>
    <row r="399" spans="11:11">
      <c r="K399"/>
    </row>
    <row r="400" spans="11:11">
      <c r="K400"/>
    </row>
    <row r="401" spans="11:11">
      <c r="K401"/>
    </row>
    <row r="402" spans="11:11">
      <c r="K402"/>
    </row>
    <row r="403" spans="11:11">
      <c r="K403"/>
    </row>
    <row r="404" spans="11:11">
      <c r="K404"/>
    </row>
    <row r="405" spans="11:11">
      <c r="K405"/>
    </row>
    <row r="406" spans="11:11">
      <c r="K406"/>
    </row>
    <row r="407" spans="11:11">
      <c r="K407"/>
    </row>
    <row r="408" spans="11:11">
      <c r="K408"/>
    </row>
    <row r="409" spans="11:11">
      <c r="K409"/>
    </row>
    <row r="410" spans="11:11">
      <c r="K410"/>
    </row>
    <row r="411" spans="11:11">
      <c r="K411"/>
    </row>
    <row r="412" spans="11:11">
      <c r="K412"/>
    </row>
    <row r="413" spans="11:11">
      <c r="K413"/>
    </row>
    <row r="414" spans="11:11">
      <c r="K414"/>
    </row>
    <row r="415" spans="11:11">
      <c r="K415"/>
    </row>
    <row r="416" spans="11:11">
      <c r="K416"/>
    </row>
    <row r="417" spans="11:11">
      <c r="K417"/>
    </row>
    <row r="418" spans="11:11">
      <c r="K418"/>
    </row>
    <row r="419" spans="11:11">
      <c r="K419"/>
    </row>
    <row r="420" spans="11:11">
      <c r="K420"/>
    </row>
    <row r="421" spans="11:11">
      <c r="K421"/>
    </row>
    <row r="422" spans="11:11">
      <c r="K422"/>
    </row>
    <row r="423" spans="11:11">
      <c r="K423"/>
    </row>
    <row r="424" spans="11:11">
      <c r="K424"/>
    </row>
    <row r="425" spans="11:11">
      <c r="K425"/>
    </row>
    <row r="426" spans="11:11">
      <c r="K426"/>
    </row>
    <row r="427" spans="11:11">
      <c r="K427"/>
    </row>
    <row r="428" spans="11:11">
      <c r="K428"/>
    </row>
    <row r="429" spans="11:11">
      <c r="K429"/>
    </row>
    <row r="430" spans="11:11">
      <c r="K430"/>
    </row>
    <row r="431" spans="11:11">
      <c r="K431"/>
    </row>
    <row r="432" spans="11:11">
      <c r="K432"/>
    </row>
    <row r="433" spans="11:11">
      <c r="K433"/>
    </row>
    <row r="434" spans="11:11">
      <c r="K434"/>
    </row>
    <row r="435" spans="11:11">
      <c r="K435"/>
    </row>
    <row r="436" spans="11:11">
      <c r="K436"/>
    </row>
    <row r="437" spans="11:11">
      <c r="K437"/>
    </row>
    <row r="438" spans="11:11">
      <c r="K438"/>
    </row>
    <row r="439" spans="11:11">
      <c r="K439"/>
    </row>
    <row r="440" spans="11:11">
      <c r="K440"/>
    </row>
    <row r="441" spans="11:11">
      <c r="K441"/>
    </row>
    <row r="442" spans="11:11">
      <c r="K442"/>
    </row>
    <row r="443" spans="11:11">
      <c r="K443"/>
    </row>
    <row r="444" spans="11:11">
      <c r="K444"/>
    </row>
    <row r="445" spans="11:11">
      <c r="K445"/>
    </row>
    <row r="446" spans="11:11">
      <c r="K446"/>
    </row>
    <row r="447" spans="11:11">
      <c r="K447"/>
    </row>
    <row r="448" spans="11:11">
      <c r="K448"/>
    </row>
    <row r="449" spans="11:11">
      <c r="K449"/>
    </row>
    <row r="450" spans="11:11">
      <c r="K450"/>
    </row>
    <row r="451" spans="11:11">
      <c r="K451"/>
    </row>
    <row r="452" spans="11:11">
      <c r="K452"/>
    </row>
    <row r="453" spans="11:11">
      <c r="K453"/>
    </row>
    <row r="454" spans="11:11">
      <c r="K454"/>
    </row>
    <row r="455" spans="11:11">
      <c r="K455"/>
    </row>
    <row r="456" spans="11:11">
      <c r="K456"/>
    </row>
    <row r="457" spans="11:11">
      <c r="K457"/>
    </row>
    <row r="458" spans="11:11">
      <c r="K458"/>
    </row>
    <row r="459" spans="11:11">
      <c r="K459"/>
    </row>
    <row r="460" spans="11:11">
      <c r="K460"/>
    </row>
    <row r="461" spans="11:11">
      <c r="K461"/>
    </row>
    <row r="462" spans="11:11">
      <c r="K462"/>
    </row>
    <row r="463" spans="11:11">
      <c r="K463"/>
    </row>
    <row r="464" spans="11:11">
      <c r="K464"/>
    </row>
    <row r="465" spans="11:11">
      <c r="K465"/>
    </row>
    <row r="466" spans="11:11">
      <c r="K466"/>
    </row>
    <row r="467" spans="11:11">
      <c r="K467"/>
    </row>
    <row r="468" spans="11:11">
      <c r="K468"/>
    </row>
    <row r="469" spans="11:11">
      <c r="K469"/>
    </row>
    <row r="470" spans="11:11">
      <c r="K470"/>
    </row>
    <row r="471" spans="11:11">
      <c r="K471"/>
    </row>
    <row r="472" spans="11:11">
      <c r="K472"/>
    </row>
    <row r="473" spans="11:11">
      <c r="K473"/>
    </row>
    <row r="474" spans="11:11">
      <c r="K474"/>
    </row>
    <row r="475" spans="11:11">
      <c r="K475"/>
    </row>
    <row r="476" spans="11:11">
      <c r="K476"/>
    </row>
    <row r="477" spans="11:11">
      <c r="K477"/>
    </row>
    <row r="478" spans="11:11">
      <c r="K478"/>
    </row>
    <row r="479" spans="11:11">
      <c r="K479"/>
    </row>
    <row r="480" spans="11:11">
      <c r="K480"/>
    </row>
    <row r="481" spans="11:11">
      <c r="K481"/>
    </row>
    <row r="482" spans="11:11">
      <c r="K482"/>
    </row>
    <row r="483" spans="11:11">
      <c r="K483"/>
    </row>
    <row r="484" spans="11:11">
      <c r="K484"/>
    </row>
    <row r="485" spans="11:11">
      <c r="K485"/>
    </row>
    <row r="486" spans="11:11">
      <c r="K486"/>
    </row>
    <row r="487" spans="11:11">
      <c r="K487"/>
    </row>
    <row r="488" spans="11:11">
      <c r="K488"/>
    </row>
    <row r="489" spans="11:11">
      <c r="K489"/>
    </row>
    <row r="490" spans="11:11">
      <c r="K490"/>
    </row>
    <row r="491" spans="11:11">
      <c r="K491"/>
    </row>
    <row r="492" spans="11:11">
      <c r="K492"/>
    </row>
    <row r="493" spans="11:11">
      <c r="K493"/>
    </row>
    <row r="494" spans="11:11">
      <c r="K494"/>
    </row>
    <row r="495" spans="11:11">
      <c r="K495"/>
    </row>
    <row r="496" spans="11:11">
      <c r="K496"/>
    </row>
    <row r="497" spans="11:11">
      <c r="K497"/>
    </row>
    <row r="498" spans="11:11">
      <c r="K498"/>
    </row>
    <row r="499" spans="11:11">
      <c r="K499"/>
    </row>
    <row r="500" spans="11:11">
      <c r="K500"/>
    </row>
    <row r="501" spans="11:11">
      <c r="K501"/>
    </row>
    <row r="502" spans="11:11">
      <c r="K502"/>
    </row>
    <row r="503" spans="11:11">
      <c r="K503"/>
    </row>
    <row r="504" spans="11:11">
      <c r="K504"/>
    </row>
    <row r="505" spans="11:11">
      <c r="K505"/>
    </row>
    <row r="506" spans="11:11">
      <c r="K506"/>
    </row>
    <row r="507" spans="11:11">
      <c r="K507"/>
    </row>
    <row r="508" spans="11:11">
      <c r="K508"/>
    </row>
    <row r="509" spans="11:11">
      <c r="K509"/>
    </row>
    <row r="510" spans="11:11">
      <c r="K510"/>
    </row>
    <row r="511" spans="11:11">
      <c r="K511"/>
    </row>
    <row r="512" spans="11:11">
      <c r="K512"/>
    </row>
    <row r="513" spans="11:11">
      <c r="K513"/>
    </row>
    <row r="514" spans="11:11">
      <c r="K514"/>
    </row>
    <row r="515" spans="11:11">
      <c r="K515"/>
    </row>
    <row r="516" spans="11:11">
      <c r="K516"/>
    </row>
    <row r="517" spans="11:11">
      <c r="K517"/>
    </row>
    <row r="518" spans="11:11">
      <c r="K518"/>
    </row>
    <row r="519" spans="11:11">
      <c r="K519"/>
    </row>
    <row r="520" spans="11:11">
      <c r="K520"/>
    </row>
    <row r="521" spans="11:11">
      <c r="K521"/>
    </row>
    <row r="522" spans="11:11">
      <c r="K522"/>
    </row>
    <row r="523" spans="11:11">
      <c r="K523"/>
    </row>
    <row r="524" spans="11:11">
      <c r="K524"/>
    </row>
    <row r="525" spans="11:11">
      <c r="K525"/>
    </row>
    <row r="526" spans="11:11">
      <c r="K526"/>
    </row>
    <row r="527" spans="11:11">
      <c r="K527"/>
    </row>
    <row r="528" spans="11:11">
      <c r="K528"/>
    </row>
    <row r="529" spans="11:11">
      <c r="K529"/>
    </row>
    <row r="530" spans="11:11">
      <c r="K530"/>
    </row>
    <row r="531" spans="11:11">
      <c r="K531"/>
    </row>
    <row r="532" spans="11:11">
      <c r="K532"/>
    </row>
    <row r="533" spans="11:11">
      <c r="K533"/>
    </row>
    <row r="534" spans="11:11">
      <c r="K534"/>
    </row>
    <row r="535" spans="11:11">
      <c r="K535"/>
    </row>
    <row r="536" spans="11:11">
      <c r="K536"/>
    </row>
    <row r="537" spans="11:11">
      <c r="K537"/>
    </row>
    <row r="538" spans="11:11">
      <c r="K538"/>
    </row>
    <row r="539" spans="11:11">
      <c r="K539"/>
    </row>
    <row r="540" spans="11:11">
      <c r="K540"/>
    </row>
    <row r="541" spans="11:11">
      <c r="K541"/>
    </row>
    <row r="542" spans="11:11">
      <c r="K542"/>
    </row>
    <row r="543" spans="11:11">
      <c r="K543"/>
    </row>
    <row r="544" spans="11:11">
      <c r="K544"/>
    </row>
    <row r="545" spans="11:11">
      <c r="K545"/>
    </row>
    <row r="546" spans="11:11">
      <c r="K546"/>
    </row>
    <row r="547" spans="11:11">
      <c r="K547"/>
    </row>
    <row r="548" spans="11:11">
      <c r="K548"/>
    </row>
    <row r="549" spans="11:11">
      <c r="K549"/>
    </row>
    <row r="550" spans="11:11">
      <c r="K550"/>
    </row>
    <row r="551" spans="11:11">
      <c r="K551"/>
    </row>
    <row r="552" spans="11:11">
      <c r="K552"/>
    </row>
    <row r="553" spans="11:11">
      <c r="K553"/>
    </row>
    <row r="554" spans="11:11">
      <c r="K554"/>
    </row>
    <row r="555" spans="11:11">
      <c r="K555"/>
    </row>
    <row r="556" spans="11:11">
      <c r="K556"/>
    </row>
    <row r="557" spans="11:11">
      <c r="K557"/>
    </row>
    <row r="558" spans="11:11">
      <c r="K558"/>
    </row>
    <row r="559" spans="11:11">
      <c r="K559"/>
    </row>
    <row r="560" spans="11:11">
      <c r="K560"/>
    </row>
    <row r="561" spans="11:11">
      <c r="K561"/>
    </row>
    <row r="562" spans="11:11">
      <c r="K562"/>
    </row>
    <row r="563" spans="11:11">
      <c r="K563"/>
    </row>
    <row r="564" spans="11:11">
      <c r="K564"/>
    </row>
    <row r="565" spans="11:11">
      <c r="K565"/>
    </row>
    <row r="566" spans="11:11">
      <c r="K566"/>
    </row>
    <row r="567" spans="11:11">
      <c r="K567"/>
    </row>
    <row r="568" spans="11:11">
      <c r="K568"/>
    </row>
    <row r="569" spans="11:11">
      <c r="K569"/>
    </row>
    <row r="570" spans="11:11">
      <c r="K570"/>
    </row>
    <row r="571" spans="11:11">
      <c r="K571"/>
    </row>
    <row r="572" spans="11:11">
      <c r="K572"/>
    </row>
    <row r="573" spans="11:11">
      <c r="K573"/>
    </row>
    <row r="574" spans="11:11">
      <c r="K574"/>
    </row>
    <row r="575" spans="11:11">
      <c r="K575"/>
    </row>
    <row r="576" spans="11:11">
      <c r="K576"/>
    </row>
    <row r="577" spans="11:11">
      <c r="K577"/>
    </row>
    <row r="578" spans="11:11">
      <c r="K578"/>
    </row>
    <row r="579" spans="11:11">
      <c r="K579"/>
    </row>
    <row r="580" spans="11:11">
      <c r="K580"/>
    </row>
    <row r="581" spans="11:11">
      <c r="K581"/>
    </row>
    <row r="582" spans="11:11">
      <c r="K582"/>
    </row>
    <row r="583" spans="11:11">
      <c r="K583"/>
    </row>
    <row r="584" spans="11:11">
      <c r="K584"/>
    </row>
    <row r="585" spans="11:11">
      <c r="K585"/>
    </row>
    <row r="586" spans="11:11">
      <c r="K586"/>
    </row>
    <row r="587" spans="11:11">
      <c r="K587"/>
    </row>
    <row r="588" spans="11:11">
      <c r="K588"/>
    </row>
    <row r="589" spans="11:11">
      <c r="K589"/>
    </row>
    <row r="590" spans="11:11">
      <c r="K590"/>
    </row>
    <row r="591" spans="11:11">
      <c r="K591"/>
    </row>
    <row r="592" spans="11:11">
      <c r="K592"/>
    </row>
    <row r="593" spans="11:11">
      <c r="K593"/>
    </row>
    <row r="594" spans="11:11">
      <c r="K594"/>
    </row>
    <row r="595" spans="11:11">
      <c r="K595"/>
    </row>
    <row r="596" spans="11:11">
      <c r="K596"/>
    </row>
    <row r="597" spans="11:11">
      <c r="K597"/>
    </row>
    <row r="598" spans="11:11">
      <c r="K598"/>
    </row>
    <row r="599" spans="11:11">
      <c r="K599"/>
    </row>
    <row r="600" spans="11:11">
      <c r="K600"/>
    </row>
    <row r="601" spans="11:11">
      <c r="K601"/>
    </row>
    <row r="602" spans="11:11">
      <c r="K602"/>
    </row>
    <row r="603" spans="11:11">
      <c r="K603"/>
    </row>
    <row r="604" spans="11:11">
      <c r="K604"/>
    </row>
    <row r="605" spans="11:11">
      <c r="K605"/>
    </row>
    <row r="606" spans="11:11">
      <c r="K606"/>
    </row>
    <row r="607" spans="11:11">
      <c r="K607"/>
    </row>
    <row r="608" spans="11:11">
      <c r="K608"/>
    </row>
    <row r="609" spans="11:11">
      <c r="K609"/>
    </row>
    <row r="610" spans="11:11">
      <c r="K610"/>
    </row>
    <row r="611" spans="11:11">
      <c r="K611" s="18"/>
    </row>
  </sheetData>
  <autoFilter ref="A4:K246" xr:uid="{00000000-0009-0000-0000-000000000000}">
    <filterColumn colId="2">
      <filters>
        <filter val="0,5"/>
        <filter val="1"/>
        <filter val="10"/>
        <filter val="11"/>
        <filter val="110"/>
        <filter val="13"/>
        <filter val="15"/>
        <filter val="16"/>
        <filter val="160"/>
        <filter val="18"/>
        <filter val="185"/>
        <filter val="2"/>
        <filter val="2,25"/>
        <filter val="22"/>
        <filter val="23"/>
        <filter val="25"/>
        <filter val="26"/>
        <filter val="3"/>
        <filter val="31"/>
        <filter val="40"/>
        <filter val="47"/>
        <filter val="5"/>
        <filter val="53"/>
        <filter val="55"/>
        <filter val="58"/>
        <filter val="6"/>
        <filter val="65"/>
        <filter val="7"/>
        <filter val="8"/>
        <filter val="9"/>
      </filters>
    </filterColumn>
    <sortState xmlns:xlrd2="http://schemas.microsoft.com/office/spreadsheetml/2017/richdata2" ref="A11:K245">
      <sortCondition ref="B4:B245"/>
    </sortState>
  </autoFilter>
  <pageMargins left="0.25" right="0.25" top="0.75" bottom="0.75" header="0.3" footer="0.3"/>
  <pageSetup paperSize="9" scale="83" orientation="portrait" r:id="rId1"/>
</worksheet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ARMANDO CASTRO GARZON</dc:creator>
  <cp:keywords/>
  <dc:description/>
  <cp:lastModifiedBy>LUIS ARMANDO CASTRO GARZON</cp:lastModifiedBy>
  <cp:revision/>
  <dcterms:created xsi:type="dcterms:W3CDTF">2023-03-13T19:27:00Z</dcterms:created>
  <dcterms:modified xsi:type="dcterms:W3CDTF">2026-06-10T16:17:45Z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FD1001B7E836424C88B40AF47F0CF52A_12</vt:lpwstr>
  </property>
  <property fmtid="{D5CDD505-2E9C-101B-9397-08002B2CF9AE}" pid="3" name="KSOProductBuildVer">
    <vt:lpwstr>3082-12.2.0.17562</vt:lpwstr>
  </property>
</Properties>
</file>